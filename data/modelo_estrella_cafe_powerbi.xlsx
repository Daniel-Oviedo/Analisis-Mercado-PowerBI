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cumentos\Escritorio\"/>
    </mc:Choice>
  </mc:AlternateContent>
  <xr:revisionPtr revIDLastSave="0" documentId="13_ncr:1_{7CCB93C6-97D2-4A35-ACB2-190E4A2A5A9F}" xr6:coauthVersionLast="47" xr6:coauthVersionMax="47" xr10:uidLastSave="{00000000-0000-0000-0000-000000000000}"/>
  <bookViews>
    <workbookView xWindow="0" yWindow="0" windowWidth="28800" windowHeight="16200" tabRatio="500" firstSheet="5" activeTab="10" xr2:uid="{00000000-000D-0000-FFFF-FFFF00000000}"/>
  </bookViews>
  <sheets>
    <sheet name="Dim_Empresa" sheetId="1" r:id="rId1"/>
    <sheet name="Dim_Region" sheetId="2" r:id="rId2"/>
    <sheet name="Dim_Fecha" sheetId="3" r:id="rId3"/>
    <sheet name="Dim_Red_Social" sheetId="4" r:id="rId4"/>
    <sheet name="Dim_Variedad" sheetId="5" r:id="rId5"/>
    <sheet name="Dim_Proceso" sheetId="6" r:id="rId6"/>
    <sheet name="Dim_Tueste" sheetId="7" r:id="rId7"/>
    <sheet name="Dim_Tamano" sheetId="8" r:id="rId8"/>
    <sheet name="Fact_Empresa" sheetId="9" r:id="rId9"/>
    <sheet name="Fact_Redes_Sociales" sheetId="10" r:id="rId10"/>
    <sheet name="Fact_Precios" sheetId="11" r:id="rId11"/>
    <sheet name="Bridge_Empresa_Variedad" sheetId="12" r:id="rId12"/>
    <sheet name="Bridge_Empresa_Proceso" sheetId="13" r:id="rId13"/>
    <sheet name="Bridge_Empresa_Tueste" sheetId="14" r:id="rId14"/>
    <sheet name="_Diccionario_Datos" sheetId="15" r:id="rId15"/>
    <sheet name="_Revision_Manual" sheetId="16" r:id="rId1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5" i="9" l="1"/>
  <c r="F25" i="9"/>
  <c r="J24" i="9"/>
  <c r="F24" i="9"/>
  <c r="J23" i="9"/>
  <c r="F23" i="9"/>
  <c r="J22" i="9"/>
  <c r="F22" i="9"/>
  <c r="J21" i="9"/>
  <c r="F21" i="9"/>
  <c r="J20" i="9"/>
  <c r="F20" i="9"/>
  <c r="J19" i="9"/>
  <c r="F19" i="9"/>
  <c r="J18" i="9"/>
  <c r="F18" i="9"/>
  <c r="J17" i="9"/>
  <c r="F17" i="9"/>
  <c r="J16" i="9"/>
  <c r="F16" i="9"/>
  <c r="J15" i="9"/>
  <c r="F15" i="9"/>
  <c r="J14" i="9"/>
  <c r="F14" i="9"/>
  <c r="J13" i="9"/>
  <c r="F13" i="9"/>
  <c r="J12" i="9"/>
  <c r="F12" i="9"/>
  <c r="J11" i="9"/>
  <c r="F11" i="9"/>
  <c r="J10" i="9"/>
  <c r="F10" i="9"/>
  <c r="J9" i="9"/>
  <c r="F9" i="9"/>
  <c r="J8" i="9"/>
  <c r="F8" i="9"/>
  <c r="J7" i="9"/>
  <c r="F7" i="9"/>
  <c r="J6" i="9"/>
  <c r="F6" i="9"/>
  <c r="J5" i="9"/>
  <c r="F5" i="9"/>
  <c r="J4" i="9"/>
  <c r="F4" i="9"/>
  <c r="J3" i="9"/>
  <c r="F3" i="9"/>
  <c r="J2" i="9"/>
  <c r="F2" i="9"/>
  <c r="V25" i="1"/>
  <c r="U25" i="1"/>
  <c r="T25" i="1"/>
  <c r="P25" i="1"/>
  <c r="N25" i="1"/>
  <c r="L25" i="1"/>
  <c r="I25" i="1"/>
  <c r="V24" i="1"/>
  <c r="U24" i="1"/>
  <c r="T24" i="1"/>
  <c r="R24" i="1"/>
  <c r="P24" i="1"/>
  <c r="N24" i="1"/>
  <c r="L24" i="1"/>
  <c r="I24" i="1"/>
  <c r="V23" i="1"/>
  <c r="U23" i="1"/>
  <c r="T23" i="1"/>
  <c r="P23" i="1"/>
  <c r="N23" i="1"/>
  <c r="L23" i="1"/>
  <c r="I23" i="1"/>
  <c r="V22" i="1"/>
  <c r="U22" i="1"/>
  <c r="T22" i="1"/>
  <c r="P22" i="1"/>
  <c r="N22" i="1"/>
  <c r="L22" i="1"/>
  <c r="I22" i="1"/>
  <c r="V21" i="1"/>
  <c r="U21" i="1"/>
  <c r="T21" i="1"/>
  <c r="P21" i="1"/>
  <c r="N21" i="1"/>
  <c r="L21" i="1"/>
  <c r="I21" i="1"/>
  <c r="V20" i="1"/>
  <c r="U20" i="1"/>
  <c r="T20" i="1"/>
  <c r="R20" i="1"/>
  <c r="P20" i="1"/>
  <c r="N20" i="1"/>
  <c r="L20" i="1"/>
  <c r="I20" i="1"/>
  <c r="V19" i="1"/>
  <c r="U19" i="1"/>
  <c r="T19" i="1"/>
  <c r="P19" i="1"/>
  <c r="N19" i="1"/>
  <c r="L19" i="1"/>
  <c r="I19" i="1"/>
  <c r="V18" i="1"/>
  <c r="U18" i="1"/>
  <c r="T18" i="1"/>
  <c r="P18" i="1"/>
  <c r="N18" i="1"/>
  <c r="L18" i="1"/>
  <c r="I18" i="1"/>
  <c r="V17" i="1"/>
  <c r="U17" i="1"/>
  <c r="T17" i="1"/>
  <c r="P17" i="1"/>
  <c r="N17" i="1"/>
  <c r="L17" i="1"/>
  <c r="I17" i="1"/>
  <c r="V16" i="1"/>
  <c r="U16" i="1"/>
  <c r="T16" i="1"/>
  <c r="R16" i="1"/>
  <c r="P16" i="1"/>
  <c r="N16" i="1"/>
  <c r="L16" i="1"/>
  <c r="I16" i="1"/>
  <c r="V15" i="1"/>
  <c r="U15" i="1"/>
  <c r="T15" i="1"/>
  <c r="P15" i="1"/>
  <c r="N15" i="1"/>
  <c r="L15" i="1"/>
  <c r="I15" i="1"/>
  <c r="V14" i="1"/>
  <c r="U14" i="1"/>
  <c r="T14" i="1"/>
  <c r="P14" i="1"/>
  <c r="N14" i="1"/>
  <c r="L14" i="1"/>
  <c r="I14" i="1"/>
  <c r="V13" i="1"/>
  <c r="U13" i="1"/>
  <c r="T13" i="1"/>
  <c r="R13" i="1"/>
  <c r="P13" i="1"/>
  <c r="N13" i="1"/>
  <c r="L13" i="1"/>
  <c r="I13" i="1"/>
  <c r="V12" i="1"/>
  <c r="U12" i="1"/>
  <c r="T12" i="1"/>
  <c r="P12" i="1"/>
  <c r="N12" i="1"/>
  <c r="L12" i="1"/>
  <c r="I12" i="1"/>
  <c r="V11" i="1"/>
  <c r="U11" i="1"/>
  <c r="T11" i="1"/>
  <c r="P11" i="1"/>
  <c r="N11" i="1"/>
  <c r="L11" i="1"/>
  <c r="I11" i="1"/>
  <c r="V10" i="1"/>
  <c r="U10" i="1"/>
  <c r="T10" i="1"/>
  <c r="R10" i="1"/>
  <c r="P10" i="1"/>
  <c r="N10" i="1"/>
  <c r="L10" i="1"/>
  <c r="I10" i="1"/>
  <c r="V9" i="1"/>
  <c r="U9" i="1"/>
  <c r="T9" i="1"/>
  <c r="R9" i="1"/>
  <c r="P9" i="1"/>
  <c r="N9" i="1"/>
  <c r="L9" i="1"/>
  <c r="I9" i="1"/>
  <c r="V8" i="1"/>
  <c r="U8" i="1"/>
  <c r="T8" i="1"/>
  <c r="P8" i="1"/>
  <c r="N8" i="1"/>
  <c r="L8" i="1"/>
  <c r="I8" i="1"/>
  <c r="V7" i="1"/>
  <c r="U7" i="1"/>
  <c r="T7" i="1"/>
  <c r="P7" i="1"/>
  <c r="N7" i="1"/>
  <c r="L7" i="1"/>
  <c r="I7" i="1"/>
  <c r="V6" i="1"/>
  <c r="U6" i="1"/>
  <c r="T6" i="1"/>
  <c r="P6" i="1"/>
  <c r="N6" i="1"/>
  <c r="L6" i="1"/>
  <c r="I6" i="1"/>
  <c r="V5" i="1"/>
  <c r="U5" i="1"/>
  <c r="T5" i="1"/>
  <c r="P5" i="1"/>
  <c r="N5" i="1"/>
  <c r="L5" i="1"/>
  <c r="I5" i="1"/>
  <c r="V4" i="1"/>
  <c r="U4" i="1"/>
  <c r="T4" i="1"/>
  <c r="P4" i="1"/>
  <c r="N4" i="1"/>
  <c r="L4" i="1"/>
  <c r="I4" i="1"/>
  <c r="V3" i="1"/>
  <c r="U3" i="1"/>
  <c r="T3" i="1"/>
  <c r="P3" i="1"/>
  <c r="N3" i="1"/>
  <c r="L3" i="1"/>
  <c r="I3" i="1"/>
  <c r="V2" i="1"/>
  <c r="U2" i="1"/>
  <c r="T2" i="1"/>
  <c r="P2" i="1"/>
  <c r="N2" i="1"/>
  <c r="L2" i="1"/>
  <c r="I2" i="1"/>
</calcChain>
</file>

<file path=xl/sharedStrings.xml><?xml version="1.0" encoding="utf-8"?>
<sst xmlns="http://schemas.openxmlformats.org/spreadsheetml/2006/main" count="924" uniqueCount="460">
  <si>
    <t>empresa_id</t>
  </si>
  <si>
    <t>empresa</t>
  </si>
  <si>
    <t>region_id</t>
  </si>
  <si>
    <t>zona_detalle</t>
  </si>
  <si>
    <t>direccion</t>
  </si>
  <si>
    <t>telefono</t>
  </si>
  <si>
    <t>email</t>
  </si>
  <si>
    <t>sitio_web</t>
  </si>
  <si>
    <t>tiene_sitio_web</t>
  </si>
  <si>
    <t>escala_produccion</t>
  </si>
  <si>
    <t>donde_tuesta</t>
  </si>
  <si>
    <t>tiene_tienda_fisica</t>
  </si>
  <si>
    <t>detalle_tienda_fisica</t>
  </si>
  <si>
    <t>tiene_cafeteria</t>
  </si>
  <si>
    <t>detalle_cafeteria</t>
  </si>
  <si>
    <t>tiene_tienda_online</t>
  </si>
  <si>
    <t>detalle_tienda_online</t>
  </si>
  <si>
    <t>tuesta_a_otros</t>
  </si>
  <si>
    <t>detalle_tuesta_a_otros</t>
  </si>
  <si>
    <t>google_business_activo</t>
  </si>
  <si>
    <t>vende_grano</t>
  </si>
  <si>
    <t>vende_molido</t>
  </si>
  <si>
    <t>presentaciones_empaque</t>
  </si>
  <si>
    <t>notas</t>
  </si>
  <si>
    <t>Coopedota R.L. (Café Dota)</t>
  </si>
  <si>
    <t>Santa María de Dota (Dota/Tarrazú), San José</t>
  </si>
  <si>
    <t>Santa María de Dota, San José; web coopedota.com</t>
  </si>
  <si>
    <t>2541-2828</t>
  </si>
  <si>
    <t>apoyo.productor@coopedota.com</t>
  </si>
  <si>
    <t>https://www.coopedota.com</t>
  </si>
  <si>
    <t>Escala media-alta (cooperativa con 900 productores)</t>
  </si>
  <si>
    <t>Propio (beneficio y planta de tueste propios en Santa María de Dota)</t>
  </si>
  <si>
    <t>Sí (tienda, cafetería propia en Santa María de Dota)</t>
  </si>
  <si>
    <t>Sí (cafetería propia)</t>
  </si>
  <si>
    <t>Sí (tienda online)</t>
  </si>
  <si>
    <t>Falta de verificar</t>
  </si>
  <si>
    <t>Bolsa tradicional con válvula (340g, 908g) Pack de degustación (75g) y Doypack (250g)</t>
  </si>
  <si>
    <t>Coffea Diversa (Jardín Botánico de Café)</t>
  </si>
  <si>
    <t>Altamira de Biolley, Buenos Aires, Puntarenas (1200–1350 msnm)</t>
  </si>
  <si>
    <t>Biolley + Multiplaza Escazú + sala Moravia</t>
  </si>
  <si>
    <t>8833-3034</t>
  </si>
  <si>
    <t>info@coffeadiversa.com</t>
  </si>
  <si>
    <t>https://coffeadiversa.com</t>
  </si>
  <si>
    <t>Pequeña-media (microlotes, cantidades limitadas)</t>
  </si>
  <si>
    <t>Propio (producción, micro-beneficio, tueste, academia y tour)</t>
  </si>
  <si>
    <t>Sí (tienda, cafetería en Jardín Biolley)</t>
  </si>
  <si>
    <t>Bolsa de especialidad con válvula (250g, 500g)</t>
  </si>
  <si>
    <t>Hacienda Doka / Tres Generaciones S.A. (Café Tres Generaciones, Hacienda Doka)</t>
  </si>
  <si>
    <t>faldas del Volcán Poás, Alajuela</t>
  </si>
  <si>
    <t>Sabanilla de Alajuela (ruta al Volcán Poás)</t>
  </si>
  <si>
    <t>7300-7157</t>
  </si>
  <si>
    <t>info@haciendadoka.cr</t>
  </si>
  <si>
    <t>https://www.haciendadoka.com</t>
  </si>
  <si>
    <t>Media (empresa familiar, +80 años produciendo, tuesta hace 14 años)</t>
  </si>
  <si>
    <t>Propio (tuesta su café hace 14 años trazabilidad de la semilla a la taza)</t>
  </si>
  <si>
    <t>Sí (tienda en la finca, museo del café)</t>
  </si>
  <si>
    <t>Sí (rancho/tienda en la finca, tour reconocido)</t>
  </si>
  <si>
    <t>Bolsa de exportación con válvula (300g)</t>
  </si>
  <si>
    <t>Café Don Mayo (Luvima de Tarrazú S.R.L.)</t>
  </si>
  <si>
    <t>Tarrazú y León Cortés, San José (1750–1900 msnm)</t>
  </si>
  <si>
    <t>San Marcos de Tarrazú</t>
  </si>
  <si>
    <t>(506) 8828-2505 / 2546-5921</t>
  </si>
  <si>
    <t>beneficio@donmayocr.com</t>
  </si>
  <si>
    <t>https://tienda.cafedonmayocr.com</t>
  </si>
  <si>
    <t>Media-pequeña (1.900 fanegas/año entre 2 fincas)</t>
  </si>
  <si>
    <t>Propio (Beneficio Don Mayo desde 2003 controla de la finca al empaque)</t>
  </si>
  <si>
    <t>Sí (2 cafeterías propias en Mango Plaza, Alajuela y Terminal 7-10, San José)</t>
  </si>
  <si>
    <t>Sí (cafeterías propias)</t>
  </si>
  <si>
    <t>Bolsa trilaminada con válvula desgasificadora (250g, 340g, 1000g)</t>
  </si>
  <si>
    <t>Café de Monteverde (Farm &amp; Roastery)</t>
  </si>
  <si>
    <t>Santa Elena, Puntarenas (bosque nuboso, 1200–1650 msnm)</t>
  </si>
  <si>
    <t>Santa Elena de Monteverde</t>
  </si>
  <si>
    <t>2645-7550</t>
  </si>
  <si>
    <t>info@cafedemonteverde.com</t>
  </si>
  <si>
    <t>https://cafedemonteverde.com</t>
  </si>
  <si>
    <t>Pequeña-media (colectivo de 21 familias, tostado a pedido)</t>
  </si>
  <si>
    <t>Propio (colectivo que cultiva, cosecha, beneficia y tuesta )</t>
  </si>
  <si>
    <t>Sí (cafeterías propias en Santa Elena)</t>
  </si>
  <si>
    <t>Sí (cafeterías propias, tour y degustaciones)</t>
  </si>
  <si>
    <t>Bolsa de papel Kraft ecológico con válvula (250g, 340g, 1000g)</t>
  </si>
  <si>
    <t>Hacienda Tobosi</t>
  </si>
  <si>
    <t>2160 msnm)</t>
  </si>
  <si>
    <t>Tobosi de El Guarco, Cartago</t>
  </si>
  <si>
    <t>2572 1500</t>
  </si>
  <si>
    <t>info@haciendatobosi.com</t>
  </si>
  <si>
    <t>https://tastepuravida.com/cafe-tobosi/</t>
  </si>
  <si>
    <t>Pequeña-media (microlotes, servicios de tueste/catación a terceros)</t>
  </si>
  <si>
    <t>Propio (finca, beneficiado, café verde y tostado)</t>
  </si>
  <si>
    <t>No tiene Tienda</t>
  </si>
  <si>
    <t>No cuentan con cafeteria</t>
  </si>
  <si>
    <t>Bolsa hermética de especialidad con plano de fondo y válvula (250g, 340g)</t>
  </si>
  <si>
    <t>El Toledo Coffee (familia Calderón)</t>
  </si>
  <si>
    <t>Rincón de San Isidro, Atenas, Alajuela (hasta ~1000 msnm)</t>
  </si>
  <si>
    <t>Altos de San Isidro, Atenas</t>
  </si>
  <si>
    <t>8711-1221 / 6279-2918</t>
  </si>
  <si>
    <t>cafeeltoledo@gmail.com</t>
  </si>
  <si>
    <t>https://eltoledocoffee.weebly.com</t>
  </si>
  <si>
    <t>Pequeña (finca familiar, tostado artesanal)</t>
  </si>
  <si>
    <t>Propio (familia controla cultivo, cosecha, beneficiado, secado, tueste y empaque)</t>
  </si>
  <si>
    <t>Sí (venta en finca y tour)</t>
  </si>
  <si>
    <t>Sí (cafetería/degustación en el tour)</t>
  </si>
  <si>
    <t>Presentaciones especiales con envío internacional (cajas con 9 bolsas de 16 oz (460g cada una)</t>
  </si>
  <si>
    <t>Coopronaranjo R.L. (Café Naranjo)</t>
  </si>
  <si>
    <t>Naranjo, Alajuela</t>
  </si>
  <si>
    <t>Naranjo, Alajuela; web coopronaranjorl.com</t>
  </si>
  <si>
    <t>4104-0500</t>
  </si>
  <si>
    <t>info@coopronaranjorl.com</t>
  </si>
  <si>
    <t>https://www.coopronaranjorl.com</t>
  </si>
  <si>
    <t>Media-alta (cooperativa 1.983 asociados, marca líder nacional en 7 provincias)</t>
  </si>
  <si>
    <t>Propio (Trabaja con beneficio propio)</t>
  </si>
  <si>
    <t>Sí (supermercado propio en Naranjo)</t>
  </si>
  <si>
    <t>La pagina es solo informativa no venden direcatamenbte desde ahí</t>
  </si>
  <si>
    <t>Si tuesta el café de otros productores locales</t>
  </si>
  <si>
    <t>Bolsa tradicional de almohadilla en líneas masivas (250g, 500g) y Bolsa de fondo plano con válvula para línea Gourmet (340g)</t>
  </si>
  <si>
    <t>Café San Antonio (Coopeassa — Coop. de Caficultores de Pérez Zeledón)</t>
  </si>
  <si>
    <t>Pérez Zeledón, San José</t>
  </si>
  <si>
    <t>San Antonio, Pérez Zeledón, San José</t>
  </si>
  <si>
    <t>4001-4489</t>
  </si>
  <si>
    <t>info@coopeassa.com</t>
  </si>
  <si>
    <t>https://www.coopeassa.com</t>
  </si>
  <si>
    <t>Media (cooperativa, producción regular y microlotes de especialidad)</t>
  </si>
  <si>
    <t>Propio (beneficio, proceso de tostado)</t>
  </si>
  <si>
    <t>Si( Supermercado Coopeassa)</t>
  </si>
  <si>
    <t>Si</t>
  </si>
  <si>
    <t>Si (procesamiento y tueste)</t>
  </si>
  <si>
    <t>Bolsa tradicional trilaminada con sello flow-pack (250g, 500g, 1kg)</t>
  </si>
  <si>
    <t>Café Cristina (Finca Cristina)</t>
  </si>
  <si>
    <t>cercanías de Paraíso, Cartago</t>
  </si>
  <si>
    <t>Paraíso, Cartago (Birrisito)</t>
  </si>
  <si>
    <t>2574-6426</t>
  </si>
  <si>
    <t>organic@cafecristina.com</t>
  </si>
  <si>
    <t>https://cafecristina.com</t>
  </si>
  <si>
    <t>Pequeña (finca familiar orgánica, tostado propio)</t>
  </si>
  <si>
    <t>Propio (finca familiar que cultiva, beneficia, tuesta y vende su café orgánico)</t>
  </si>
  <si>
    <t>Bolsa de aluminio de alta barrera con válvula desgasificadora (340g, 1kg)</t>
  </si>
  <si>
    <t>Café Rosa Blanca / Finca Rosa Blanca)</t>
  </si>
  <si>
    <t>Santa Bárbara de Heredia (1250 msnm, faldas Poás/Barva)</t>
  </si>
  <si>
    <t>Santa Bárbara de Heredia</t>
  </si>
  <si>
    <t>2269-9392</t>
  </si>
  <si>
    <t>info@fincarosablanca.com</t>
  </si>
  <si>
    <t>https://www.caferosablanca.com</t>
  </si>
  <si>
    <t>Pequeña (100% orgánico)</t>
  </si>
  <si>
    <t>Propio (la finca procesa y tuesta su café)</t>
  </si>
  <si>
    <t>Sí (hotel boutique y restaurante)</t>
  </si>
  <si>
    <t>Sí (restaurante y vende su café, tour de café)</t>
  </si>
  <si>
    <t>Bolsa de papel Kraft con revestimiento interno y válvula (340g, 1kg)</t>
  </si>
  <si>
    <t>Café Haug S.A. (Café Haug Costa Rica)</t>
  </si>
  <si>
    <t>San Pablo de León Cortés, Tarrazú, San José</t>
  </si>
  <si>
    <t>San Pablo de León Cortés, Los Santos</t>
  </si>
  <si>
    <t>8928-2993 (cafetería) / 8425-2271 (tostadora)</t>
  </si>
  <si>
    <t>jose8631@gmail.com</t>
  </si>
  <si>
    <t>Pequeña (microbeneficio familiar, tostado artesanal)</t>
  </si>
  <si>
    <t>Propio (microbeneficio, tostadora y cafetería, cultiva, procesa y tuesta café 100% natural)</t>
  </si>
  <si>
    <t>Sí (tienda/venta en finca en San Pablo de León Cortés)</t>
  </si>
  <si>
    <t>Sí (cafetería propia con repostería, tour y degustación)</t>
  </si>
  <si>
    <t>No(venta en finca y por Instagram/WhatsApp, sin tienda online propia)</t>
  </si>
  <si>
    <t>Sí (tuesta también café de clientes/terceros)</t>
  </si>
  <si>
    <t>Bolsa de café natural con válvula (340g, 1000g, líneas tradicionales 250g–500g)</t>
  </si>
  <si>
    <t>Juanachute Coffee (Finca y Micro-beneficio Juanachute)</t>
  </si>
  <si>
    <t>San Pablo de Tarrazú, San José</t>
  </si>
  <si>
    <t>San Pablo de Tarrazú, Los Santos, San José</t>
  </si>
  <si>
    <t>8818-6719</t>
  </si>
  <si>
    <t>tachocastro@hotmail.com</t>
  </si>
  <si>
    <t>Pequeña (micro-beneficio familiar)</t>
  </si>
  <si>
    <t>Propio (finca + micro-beneficio que controla todo el proceso, la familia opera además una pequeña tostadora y cafetería en San Pablo)</t>
  </si>
  <si>
    <t>No tiene Tienda Física</t>
  </si>
  <si>
    <t>No(venta en finca y por Instagram/WhatsApp, sin tienda online propia</t>
  </si>
  <si>
    <t>Bolsa de café honey con válvula (250g, 340g, líneas premium en grano 250g)</t>
  </si>
  <si>
    <t>Café Soto (microempresa familiar Soto Víquez)</t>
  </si>
  <si>
    <t>San Pedro/San Juan y Santa Rosa de Poás, Alajuela</t>
  </si>
  <si>
    <t>San Juan de Poás (planta) y Santa Rosa de Poás (fincas), Alajuela</t>
  </si>
  <si>
    <t>8580-3030</t>
  </si>
  <si>
    <t>info@cafesotocr.com</t>
  </si>
  <si>
    <t>https://cafesotocr.com</t>
  </si>
  <si>
    <t>Pequeña (microempresa familiar)</t>
  </si>
  <si>
    <t>Propio (cultiva y tuesta su café 100% puro, torrefacción/planta propia en San Juan de Poás)</t>
  </si>
  <si>
    <t>Sí (venta en supermercados del cantón, restaurantes y souvenirs de Fraijanes)</t>
  </si>
  <si>
    <t>No cuentan con cafetería</t>
  </si>
  <si>
    <t>Si (sitio tipo catálogo, venta coordinada por teléfono y puntos de venta locales)</t>
  </si>
  <si>
    <t>Bolsa (250g, 500g) en todos sus tuestes</t>
  </si>
  <si>
    <t>Café Misión Costa Rica S.A.</t>
  </si>
  <si>
    <t>Tuis de Turrialba, Cartago</t>
  </si>
  <si>
    <t>Tuis, La Suiza, Turrialba, Cartago</t>
  </si>
  <si>
    <t>8877-3747 / 7088-6830 (WhatsApp)</t>
  </si>
  <si>
    <t>info@cafemision.com</t>
  </si>
  <si>
    <t>https://cafemision.com</t>
  </si>
  <si>
    <t>Pequeña (microempresa, produce café verde y tostado, microlotes de especialidad)</t>
  </si>
  <si>
    <t>Propio (cultiva, procesa y tuesta, produce café verde y tostado)</t>
  </si>
  <si>
    <t>Sí ( Punto de venta físico en sus instalaciones principales)</t>
  </si>
  <si>
    <t>Si (tienda online)</t>
  </si>
  <si>
    <t>Sí (trabaja y procesa café de pequeños productores locales)</t>
  </si>
  <si>
    <t>Bolsa tradicional de polietileno trilaminada con válvula desgasificadora y cierre tipo zipper (250g, 500g, 1kg).</t>
  </si>
  <si>
    <t>Café La Cumbre (empresa familiar, Tarrazú)</t>
  </si>
  <si>
    <t>San Marcos de Tarrazú, San José</t>
  </si>
  <si>
    <t>2546-2358</t>
  </si>
  <si>
    <t>info@cafelacumbre.com</t>
  </si>
  <si>
    <t>http://www.cafelacumbre.com</t>
  </si>
  <si>
    <t>Media-pequeña (empresa familiar, produce, industrializa y comercializa)</t>
  </si>
  <si>
    <t>Propio (cultiva, tuesta y comercializa su propio café)</t>
  </si>
  <si>
    <t>Bolsas tradicionales de polietileno trilaminadas mate con válvula desgasificadora y zipper de cierre (340g, 1kg).</t>
  </si>
  <si>
    <t>CoopeAtenas R.L. (Beneficio El Diamante)</t>
  </si>
  <si>
    <t>Atenas, Puriscal y Turrubares, Alajuela</t>
  </si>
  <si>
    <t>Atenas, Alajuela</t>
  </si>
  <si>
    <t>WhatsApp: 8486-5141</t>
  </si>
  <si>
    <t>info@coopeatenas.com</t>
  </si>
  <si>
    <t>https://lacoopeenlinea.com/cafe</t>
  </si>
  <si>
    <t>Media-alta (cooperativa de +1.300 productores)</t>
  </si>
  <si>
    <t>Propio (Beneficio El Diamante, beneficia, tuesta, muele y empaca sus marcas)</t>
  </si>
  <si>
    <t>Sí (venta en planta y Beneficio El Diamante, Atenas)</t>
  </si>
  <si>
    <t>Sí (tienda en línea)</t>
  </si>
  <si>
    <t>Bolsas tradicionales laminadas de café premium S.H.B (250g, 500g).</t>
  </si>
  <si>
    <t>Coopepilangosta R.L. (Café Diriá)</t>
  </si>
  <si>
    <t>Hojancha, Nicoya y Santa Cruz (Península de Nicoya, Zona Azul)</t>
  </si>
  <si>
    <t>Barrio Cementerio, Hojancha, Guanacaste</t>
  </si>
  <si>
    <t>2659-9130 / 8541-9130</t>
  </si>
  <si>
    <t>info@coopepilangosta.com</t>
  </si>
  <si>
    <t>https://coopepilangosta.com</t>
  </si>
  <si>
    <t>Pequeña-media (cooperativa de 192 productores)</t>
  </si>
  <si>
    <t>Propio (produce, procesa y tuesta café de especialidad bajo marca Diriá)</t>
  </si>
  <si>
    <t>Sí (punto de venta en Hojancha)</t>
  </si>
  <si>
    <t>Bolsas tradicionales laminadas de café de especialidad Blue Zone / Mi Cafecito (250g, 500g, 1000g).</t>
  </si>
  <si>
    <t>Coopeldos R.L. (Café Tilawa)</t>
  </si>
  <si>
    <t>zona alta de Tilarán, Abangares y Monteverde</t>
  </si>
  <si>
    <t>El Dos de Tilarán, Guanacaste</t>
  </si>
  <si>
    <t>4001-5780</t>
  </si>
  <si>
    <t>Info@CoopelDos.com</t>
  </si>
  <si>
    <t>https://www.coopeldos.com</t>
  </si>
  <si>
    <t>Media (cooperativa de +350 productores)</t>
  </si>
  <si>
    <t>Propio (beneficio húmedo y seco, tostado, molido y empaque bajo marca Tilawa)</t>
  </si>
  <si>
    <t>Sí (venta en planta/cooperativa en Tilarán y supermercados de la zona)</t>
  </si>
  <si>
    <t>Sí (co-manufactura, tuesta y empaca el Café Molido)</t>
  </si>
  <si>
    <t>Empaques completamente reciclables con tueste personalizado (250g, 500g).</t>
  </si>
  <si>
    <t>CoopeSabalito R.L. (Café Cosecha Dorada)</t>
  </si>
  <si>
    <t>Montañas de Sabalito, Coto Brus, Puntarenas</t>
  </si>
  <si>
    <t>Sabalito, Coto Brus, Puntarenas</t>
  </si>
  <si>
    <t>8753-1511</t>
  </si>
  <si>
    <t>gerencia@coopesabalitocr.com</t>
  </si>
  <si>
    <t>https://coopesabalito.com</t>
  </si>
  <si>
    <t>Media (cooperativa fundada en 1964)</t>
  </si>
  <si>
    <t>Propio (cooperativa que beneficia y tuesta su café marca Cosecha Dorada)</t>
  </si>
  <si>
    <t>Sí (venta en la cooperativa, Sabalito)</t>
  </si>
  <si>
    <t>Empaque PackPlus Especial de Café con Válvula desgasificadora (250g, 500g).</t>
  </si>
  <si>
    <t>Café San Vito (Café 100% Puro)</t>
  </si>
  <si>
    <t>Fila Tigre de Pittier, Coto Brus, Puntarenas (~1100 msnm)</t>
  </si>
  <si>
    <t>Escuela Fila Tigre de Pittier, Coto Brus, Puntarenas</t>
  </si>
  <si>
    <t>WhatsApp: 8363-2971</t>
  </si>
  <si>
    <t>info@cafesanvito.com</t>
  </si>
  <si>
    <t>https://cafesanvito.com</t>
  </si>
  <si>
    <t>Pequeña (microempresa familiar con plantaciones y micro-beneficio propios)</t>
  </si>
  <si>
    <t>Propio (cultiva, procesa en micro-beneficio y tuesta su café )</t>
  </si>
  <si>
    <t>Bolsas de café 100% puro de la zona alta de Pittier en Tueste Claro, Medio u Oscuro (250g).</t>
  </si>
  <si>
    <t>Cafeoteca Costa Rica (microtostador)</t>
  </si>
  <si>
    <t>San José (micro-tostador)</t>
  </si>
  <si>
    <t>San José</t>
  </si>
  <si>
    <t>2253 8367</t>
  </si>
  <si>
    <t>hola@cafeotecacostarica.com</t>
  </si>
  <si>
    <t>https://cafeotecacostarica.com</t>
  </si>
  <si>
    <t>Pequeña (micro-tostador y coffee shop de especialidad, aliado de 15 fincas)</t>
  </si>
  <si>
    <t>Propio (equipo de tostadores que selecciona, tuesta y empaca, no cultiva)</t>
  </si>
  <si>
    <t>Sí (Tienda Física en San José)</t>
  </si>
  <si>
    <t>No (venta en tienda física y amazon)</t>
  </si>
  <si>
    <t>True Coffee Costa Rica</t>
  </si>
  <si>
    <t>Dota / Tarrazú, San José (Denominación de Origen Tarrazú)</t>
  </si>
  <si>
    <t>zona de Dota Tarrazú</t>
  </si>
  <si>
    <t>8756 4540</t>
  </si>
  <si>
    <t>info@coffeedota.com</t>
  </si>
  <si>
    <t>https://truecoffeeshop.com</t>
  </si>
  <si>
    <t>Pequeña (productor-tostador)</t>
  </si>
  <si>
    <t>Propio (selecciona y tuesta bajo pedido, no cuentan con un beneficio propio)</t>
  </si>
  <si>
    <t>Sí (Tienda Física en Escazú y Dota)</t>
  </si>
  <si>
    <t>Sí (Bajo volumen / Marcas corporativas y eventos privados)</t>
  </si>
  <si>
    <t>Bolsa tradicional de fuelle o de fondo plano en color negro, café kraft o blanco con válvula desgasificadora, cierre hermético y etiqueta de la marca (250g, 340g / 12oz, 1kg / 2.2lbs).</t>
  </si>
  <si>
    <t>Café del Barista</t>
  </si>
  <si>
    <t>San José (micro-tostador y cafetería de especialidad)</t>
  </si>
  <si>
    <t>San José; redes/sitio del negocio</t>
  </si>
  <si>
    <t>8307 9114</t>
  </si>
  <si>
    <t>Pequeña (cafetería independiente y micro-tostador de tercera ola)</t>
  </si>
  <si>
    <t>Propio (TUESTA su propio café para destacar aroma y sabor de cada origen)</t>
  </si>
  <si>
    <t>No(venta en tienda fisica)</t>
  </si>
  <si>
    <t>Bolsa tradicional de fuelle o Stand-Up en color negro o kraft con válvula desgasificadora, zipper hermético reutilizable y etiqueta frontal de la marca (250g, 340g ).</t>
  </si>
  <si>
    <t>region</t>
  </si>
  <si>
    <t>provincia</t>
  </si>
  <si>
    <t>Los Santos</t>
  </si>
  <si>
    <t>Zona Sur / Brunca</t>
  </si>
  <si>
    <t>Puntarenas</t>
  </si>
  <si>
    <t>Valle Central Occidental</t>
  </si>
  <si>
    <t>Alajuela</t>
  </si>
  <si>
    <t>Monteverde</t>
  </si>
  <si>
    <t>Cartago</t>
  </si>
  <si>
    <t>Valle Central Oriental</t>
  </si>
  <si>
    <t>Valle Central</t>
  </si>
  <si>
    <t>Heredia</t>
  </si>
  <si>
    <t>Turrialba</t>
  </si>
  <si>
    <t>Guanacaste</t>
  </si>
  <si>
    <t>fecha_id</t>
  </si>
  <si>
    <t>fecha</t>
  </si>
  <si>
    <t>anio</t>
  </si>
  <si>
    <t>mes</t>
  </si>
  <si>
    <t>nombre_mes</t>
  </si>
  <si>
    <t>trimestre</t>
  </si>
  <si>
    <t>dia</t>
  </si>
  <si>
    <t>descripcion</t>
  </si>
  <si>
    <t>2025-01-01</t>
  </si>
  <si>
    <t>Enero</t>
  </si>
  <si>
    <t>T1</t>
  </si>
  <si>
    <t>Snapshot del analisis de mercado 2025</t>
  </si>
  <si>
    <t>red_social_id</t>
  </si>
  <si>
    <t>red_social</t>
  </si>
  <si>
    <t>Instagram</t>
  </si>
  <si>
    <t>Facebook</t>
  </si>
  <si>
    <t>TikTok</t>
  </si>
  <si>
    <t>YouTube</t>
  </si>
  <si>
    <t>variedad_id</t>
  </si>
  <si>
    <t>variedad</t>
  </si>
  <si>
    <t>Caturra</t>
  </si>
  <si>
    <t>Catuaí</t>
  </si>
  <si>
    <t>Geisha</t>
  </si>
  <si>
    <t>Rume Sudán</t>
  </si>
  <si>
    <t>Mokka</t>
  </si>
  <si>
    <t>Laurina</t>
  </si>
  <si>
    <t>Libérica</t>
  </si>
  <si>
    <t>Pacamara</t>
  </si>
  <si>
    <t>SL-28</t>
  </si>
  <si>
    <t>Villalobos</t>
  </si>
  <si>
    <t>Sarchimor</t>
  </si>
  <si>
    <t>Obatá</t>
  </si>
  <si>
    <t>Arábica (genérico)</t>
  </si>
  <si>
    <t>Catimor</t>
  </si>
  <si>
    <t>Villa Sarchí</t>
  </si>
  <si>
    <t>Costa Rica 95</t>
  </si>
  <si>
    <t>Bourbon</t>
  </si>
  <si>
    <t>Typica</t>
  </si>
  <si>
    <t>proceso_id</t>
  </si>
  <si>
    <t>proceso</t>
  </si>
  <si>
    <t>Fermentado</t>
  </si>
  <si>
    <t>Honey</t>
  </si>
  <si>
    <t>Lavado</t>
  </si>
  <si>
    <t>Natural</t>
  </si>
  <si>
    <t>Anaeróbico</t>
  </si>
  <si>
    <t>Orgánico</t>
  </si>
  <si>
    <t>tueste_id</t>
  </si>
  <si>
    <t>tueste</t>
  </si>
  <si>
    <t>Claro</t>
  </si>
  <si>
    <t>Medio</t>
  </si>
  <si>
    <t>Oscuro</t>
  </si>
  <si>
    <t>tamano_id</t>
  </si>
  <si>
    <t>tamano_g</t>
  </si>
  <si>
    <t>tamano_etiqueta</t>
  </si>
  <si>
    <t>240 g</t>
  </si>
  <si>
    <t>250 g</t>
  </si>
  <si>
    <t>300 g</t>
  </si>
  <si>
    <t>340 g</t>
  </si>
  <si>
    <t>500 g</t>
  </si>
  <si>
    <t>1 kg</t>
  </si>
  <si>
    <t>score_digital</t>
  </si>
  <si>
    <t>score_servicio_cliente</t>
  </si>
  <si>
    <t>envia_cr</t>
  </si>
  <si>
    <t>costo_envio_cr_min_crc</t>
  </si>
  <si>
    <t>costo_envio_cr_max_crc</t>
  </si>
  <si>
    <t>metodo_envio_cr</t>
  </si>
  <si>
    <t>envia_eeuu</t>
  </si>
  <si>
    <t>costo_envio_eeuu_min</t>
  </si>
  <si>
    <t>costo_envio_eeuu_max</t>
  </si>
  <si>
    <t>moneda_envio_eeuu</t>
  </si>
  <si>
    <t>metodo_envio_eeuu</t>
  </si>
  <si>
    <t>Correos de Costa Rica y Mensajería Privada</t>
  </si>
  <si>
    <t>USD</t>
  </si>
  <si>
    <t>DHL y Correos de Costa Rica (EMS)</t>
  </si>
  <si>
    <t>Correos de Costa Rica y Entrega directa GAM</t>
  </si>
  <si>
    <t>Tarifa variable según peso; DHL y Fedex</t>
  </si>
  <si>
    <t>Correos de Costa Rica y DHL</t>
  </si>
  <si>
    <t>DHL y Fedex (Integrado en web)</t>
  </si>
  <si>
    <t>Correos de Costa Rica y Encomiendas</t>
  </si>
  <si>
    <t>Tarifa variable bajo cotización; DHL y Correos de Costa Rica (EMS)</t>
  </si>
  <si>
    <t>Correos de Costa Rica</t>
  </si>
  <si>
    <t>DHL y Amazon</t>
  </si>
  <si>
    <t>Correos de Costa Rica y Mensajería Express</t>
  </si>
  <si>
    <t>Tarifa variable bajo cotización</t>
  </si>
  <si>
    <t>Tarifa variable según peso; Correos de Costa Rica (EMS) y DHL</t>
  </si>
  <si>
    <t>Tarifa variable bajo cotización; DHL y FedEx</t>
  </si>
  <si>
    <t>Correos de Costa Rica y Mensajería Privada (GAM)</t>
  </si>
  <si>
    <t>CRC</t>
  </si>
  <si>
    <t>Correos de Costa Rica EMS y Couriers Privados</t>
  </si>
  <si>
    <t>Correos de Costa Rica y Entrega Coordinada</t>
  </si>
  <si>
    <t>USPS, DHL y Envíos Consolidados de Tienda Online</t>
  </si>
  <si>
    <t>DHL, Fedex y Envíos Consolidados de Tienda Online</t>
  </si>
  <si>
    <t>Envío local dentro de EE.UU. por USPS o UPS</t>
  </si>
  <si>
    <t>Servicio internacional Exportafácil</t>
  </si>
  <si>
    <t>Bajo cotización; Correos de Costa Rica o Courier privado, tarifa según su peso</t>
  </si>
  <si>
    <t>Correos de Costa Rica; Pedidos por WhatsApp)</t>
  </si>
  <si>
    <t>Según tarifas de Amazon; Amazon Fulfillment</t>
  </si>
  <si>
    <t>Tarifa dinámica según peso; Correos de Costa Rica</t>
  </si>
  <si>
    <t>Correos de Costa Rica (EMS)</t>
  </si>
  <si>
    <t>Tarifa dinámica según peso; Correos de Costa Rica y DHL</t>
  </si>
  <si>
    <t>Gratis en líneas seleccionadas o calculado; DHL Express</t>
  </si>
  <si>
    <t>Tarifa regular de Correos de CR; Correos de Costa Rica</t>
  </si>
  <si>
    <t>Tarifa estándar nacional; Correos de Costa Rica</t>
  </si>
  <si>
    <t>Variable según peso; DHL Express</t>
  </si>
  <si>
    <t>Correos de Costa Rica y Moto-mensajería privada (en la GAM)</t>
  </si>
  <si>
    <t>DHL Express</t>
  </si>
  <si>
    <t>USPS, DHL Express y Aurora Studio Project</t>
  </si>
  <si>
    <t>Variable; Correos de Costa Rica y aplicaciones de mensajería (Uber; PedidosYa)</t>
  </si>
  <si>
    <t>seguidores</t>
  </si>
  <si>
    <t>moneda</t>
  </si>
  <si>
    <t>precio_min</t>
  </si>
  <si>
    <t>precio_max</t>
  </si>
  <si>
    <t>tabla</t>
  </si>
  <si>
    <t>rol</t>
  </si>
  <si>
    <t>columna</t>
  </si>
  <si>
    <t>tipo</t>
  </si>
  <si>
    <t>Dim_Empresa</t>
  </si>
  <si>
    <t>Dimension</t>
  </si>
  <si>
    <t>Entero (PK/FK)</t>
  </si>
  <si>
    <t>Texto</t>
  </si>
  <si>
    <t>Entero (FK)</t>
  </si>
  <si>
    <t>Booleano</t>
  </si>
  <si>
    <t>Dim_Region</t>
  </si>
  <si>
    <t>Dim_Fecha</t>
  </si>
  <si>
    <t>Fecha</t>
  </si>
  <si>
    <t>Entero</t>
  </si>
  <si>
    <t>Dim_Red_Social</t>
  </si>
  <si>
    <t>Dim_Variedad</t>
  </si>
  <si>
    <t>Dim_Proceso</t>
  </si>
  <si>
    <t>Dim_Tueste</t>
  </si>
  <si>
    <t>Dim_Tamano</t>
  </si>
  <si>
    <t>Fact_Empresa</t>
  </si>
  <si>
    <t>Hechos</t>
  </si>
  <si>
    <t>Decimal</t>
  </si>
  <si>
    <t>Moneda (CRC ₡)</t>
  </si>
  <si>
    <t>Fact_Redes_Sociales</t>
  </si>
  <si>
    <t>Fact_Precios</t>
  </si>
  <si>
    <t>Bridge_Empresa_Variedad</t>
  </si>
  <si>
    <t>Puente (M:N)</t>
  </si>
  <si>
    <t>Bridge_Empresa_Proceso</t>
  </si>
  <si>
    <t>Bridge_Empresa_Tueste</t>
  </si>
  <si>
    <t>campo</t>
  </si>
  <si>
    <t>valor_original</t>
  </si>
  <si>
    <t>motivo</t>
  </si>
  <si>
    <t>precio_por_tamano</t>
  </si>
  <si>
    <t>₡2,240 / (500 g) ₡4,380 / ₡4,500 1000 g (Pack de 2x500g)</t>
  </si>
  <si>
    <t>Estructura de precios irregular: revisar manualmente pares precio/tamano</t>
  </si>
  <si>
    <t>costo_envio_eeuu</t>
  </si>
  <si>
    <t>Sí / Tarifa variable según peso / DHL y Fedex</t>
  </si>
  <si>
    <t>Costo no numerico (tarifa variable/cotizacion/gratis)</t>
  </si>
  <si>
    <t>facebook_seguidores</t>
  </si>
  <si>
    <t>44.8</t>
  </si>
  <si>
    <t>Valor sospechoso: posible "mil" omitido o dato incompleto</t>
  </si>
  <si>
    <t>Sí / Tarifa variable bajo cotización / DHL y Correos de Costa Rica (EMS)</t>
  </si>
  <si>
    <t>Sí / Tarifa variable bajo cotización / DH</t>
  </si>
  <si>
    <t>Sí / Tarifa variable según peso / Correos de Costa Rica (EMS) y DHL</t>
  </si>
  <si>
    <t>Sí / Tarifa variable bajo cotización / DHL y FedEx</t>
  </si>
  <si>
    <t>instagram_seguidores</t>
  </si>
  <si>
    <t>2.4</t>
  </si>
  <si>
    <t>Sí / Bajo cotización / Correos de Costa Rica o Courier privado, tarifa según su peso</t>
  </si>
  <si>
    <t>costo_envio_cr</t>
  </si>
  <si>
    <t>Si/Tarifa dinámica según peso /Correos de Costa Rica</t>
  </si>
  <si>
    <t>Si/Tarifa dinámica según peso/Correos de Costa Rica y DHL</t>
  </si>
  <si>
    <t>Si / Gratis en líneas seleccionadas o calculado / DHL Express</t>
  </si>
  <si>
    <t>Si / Variable según peso / DHL Express</t>
  </si>
  <si>
    <t>Sí / Variable / Correos de Costa Rica y aplicaciones de mensajería (Uber/PedidosYa)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</si>
</sst>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₡#,##0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5F"/>
        <bgColor rgb="FF2E5E3A"/>
      </patternFill>
    </fill>
    <fill>
      <patternFill patternType="solid">
        <fgColor rgb="FF7A3E0E"/>
        <bgColor rgb="FF4D4D4D"/>
      </patternFill>
    </fill>
    <fill>
      <patternFill patternType="solid">
        <fgColor rgb="FF4D4D4D"/>
        <bgColor rgb="FF2E5E3A"/>
      </patternFill>
    </fill>
    <fill>
      <patternFill patternType="solid">
        <fgColor rgb="FF2E5E3A"/>
        <bgColor rgb="FF1F4E5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top"/>
    </xf>
    <xf numFmtId="3" fontId="2" fillId="0" borderId="1" xfId="0" applyNumberFormat="1" applyFont="1" applyBorder="1" applyAlignment="1">
      <alignment vertical="top"/>
    </xf>
    <xf numFmtId="4" fontId="2" fillId="0" borderId="1" xfId="0" applyNumberFormat="1" applyFont="1" applyBorder="1" applyAlignment="1">
      <alignment vertical="top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2E5E3A"/>
      <rgbColor rgb="FF7A3E0E"/>
      <rgbColor rgb="FF993366"/>
      <rgbColor rgb="FF333399"/>
      <rgbColor rgb="FF4D4D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zoomScaleNormal="100" workbookViewId="0">
      <pane ySplit="1" topLeftCell="A2" activePane="bottomLeft" state="frozen"/>
      <selection pane="bottomLeft" activeCell="C29" sqref="C29"/>
    </sheetView>
  </sheetViews>
  <sheetFormatPr defaultColWidth="8.7109375" defaultRowHeight="15" x14ac:dyDescent="0.25"/>
  <cols>
    <col min="1" max="1" width="12" customWidth="1"/>
    <col min="2" max="2" width="48" customWidth="1"/>
    <col min="3" max="3" width="11" customWidth="1"/>
    <col min="4" max="5" width="48" customWidth="1"/>
    <col min="6" max="6" width="47" customWidth="1"/>
    <col min="7" max="7" width="31" customWidth="1"/>
    <col min="8" max="8" width="40" customWidth="1"/>
    <col min="9" max="9" width="17" customWidth="1"/>
    <col min="10" max="11" width="48" customWidth="1"/>
    <col min="12" max="12" width="21" customWidth="1"/>
    <col min="13" max="13" width="48" customWidth="1"/>
    <col min="14" max="14" width="17" customWidth="1"/>
    <col min="15" max="15" width="48" customWidth="1"/>
    <col min="16" max="16" width="21" customWidth="1"/>
    <col min="17" max="17" width="48" customWidth="1"/>
    <col min="18" max="18" width="16" customWidth="1"/>
    <col min="19" max="19" width="48" customWidth="1"/>
    <col min="20" max="20" width="24" customWidth="1"/>
    <col min="21" max="21" width="13" customWidth="1"/>
    <col min="22" max="22" width="14" customWidth="1"/>
    <col min="23" max="23" width="48" customWidth="1"/>
    <col min="24" max="24" width="10" customWidth="1"/>
  </cols>
  <sheetData>
    <row r="1" spans="1:24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 t="s">
        <v>24</v>
      </c>
      <c r="C2" s="2">
        <v>1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b">
        <f>TRUE()</f>
        <v>1</v>
      </c>
      <c r="J2" s="2" t="s">
        <v>30</v>
      </c>
      <c r="K2" s="2" t="s">
        <v>31</v>
      </c>
      <c r="L2" s="2" t="b">
        <f>TRUE()</f>
        <v>1</v>
      </c>
      <c r="M2" s="2" t="s">
        <v>32</v>
      </c>
      <c r="N2" s="2" t="b">
        <f>TRUE()</f>
        <v>1</v>
      </c>
      <c r="O2" s="2" t="s">
        <v>33</v>
      </c>
      <c r="P2" s="2" t="b">
        <f>TRUE()</f>
        <v>1</v>
      </c>
      <c r="Q2" s="2" t="s">
        <v>34</v>
      </c>
      <c r="R2" s="2"/>
      <c r="S2" s="2" t="s">
        <v>35</v>
      </c>
      <c r="T2" s="2" t="b">
        <f>TRUE()</f>
        <v>1</v>
      </c>
      <c r="U2" s="2" t="b">
        <f>TRUE()</f>
        <v>1</v>
      </c>
      <c r="V2" s="2" t="b">
        <f>TRUE()</f>
        <v>1</v>
      </c>
      <c r="W2" s="2" t="s">
        <v>36</v>
      </c>
      <c r="X2" s="2"/>
    </row>
    <row r="3" spans="1:24" x14ac:dyDescent="0.25">
      <c r="A3" s="2">
        <v>2</v>
      </c>
      <c r="B3" s="2" t="s">
        <v>37</v>
      </c>
      <c r="C3" s="2">
        <v>2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 t="b">
        <f>TRUE()</f>
        <v>1</v>
      </c>
      <c r="J3" s="2" t="s">
        <v>43</v>
      </c>
      <c r="K3" s="2" t="s">
        <v>44</v>
      </c>
      <c r="L3" s="2" t="b">
        <f>TRUE()</f>
        <v>1</v>
      </c>
      <c r="M3" s="2" t="s">
        <v>45</v>
      </c>
      <c r="N3" s="2" t="b">
        <f>TRUE()</f>
        <v>1</v>
      </c>
      <c r="O3" s="2" t="s">
        <v>33</v>
      </c>
      <c r="P3" s="2" t="b">
        <f>TRUE()</f>
        <v>1</v>
      </c>
      <c r="Q3" s="2" t="s">
        <v>34</v>
      </c>
      <c r="R3" s="2"/>
      <c r="S3" s="2" t="s">
        <v>35</v>
      </c>
      <c r="T3" s="2" t="b">
        <f>TRUE()</f>
        <v>1</v>
      </c>
      <c r="U3" s="2" t="b">
        <f>TRUE()</f>
        <v>1</v>
      </c>
      <c r="V3" s="2" t="b">
        <f>TRUE()</f>
        <v>1</v>
      </c>
      <c r="W3" s="2" t="s">
        <v>46</v>
      </c>
      <c r="X3" s="2"/>
    </row>
    <row r="4" spans="1:24" x14ac:dyDescent="0.25">
      <c r="A4" s="2">
        <v>3</v>
      </c>
      <c r="B4" s="2" t="s">
        <v>47</v>
      </c>
      <c r="C4" s="2">
        <v>3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b">
        <f>TRUE()</f>
        <v>1</v>
      </c>
      <c r="J4" s="2" t="s">
        <v>53</v>
      </c>
      <c r="K4" s="2" t="s">
        <v>54</v>
      </c>
      <c r="L4" s="2" t="b">
        <f>TRUE()</f>
        <v>1</v>
      </c>
      <c r="M4" s="2" t="s">
        <v>55</v>
      </c>
      <c r="N4" s="2" t="b">
        <f>TRUE()</f>
        <v>1</v>
      </c>
      <c r="O4" s="2" t="s">
        <v>56</v>
      </c>
      <c r="P4" s="2" t="b">
        <f>TRUE()</f>
        <v>1</v>
      </c>
      <c r="Q4" s="2" t="s">
        <v>34</v>
      </c>
      <c r="R4" s="2"/>
      <c r="S4" s="2" t="s">
        <v>35</v>
      </c>
      <c r="T4" s="2" t="b">
        <f>TRUE()</f>
        <v>1</v>
      </c>
      <c r="U4" s="2" t="b">
        <f>TRUE()</f>
        <v>1</v>
      </c>
      <c r="V4" s="2" t="b">
        <f>TRUE()</f>
        <v>1</v>
      </c>
      <c r="W4" s="2" t="s">
        <v>57</v>
      </c>
      <c r="X4" s="2"/>
    </row>
    <row r="5" spans="1:24" x14ac:dyDescent="0.25">
      <c r="A5" s="2">
        <v>4</v>
      </c>
      <c r="B5" s="2" t="s">
        <v>58</v>
      </c>
      <c r="C5" s="2">
        <v>1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b">
        <f>TRUE()</f>
        <v>1</v>
      </c>
      <c r="J5" s="2" t="s">
        <v>64</v>
      </c>
      <c r="K5" s="2" t="s">
        <v>65</v>
      </c>
      <c r="L5" s="2" t="b">
        <f>TRUE()</f>
        <v>1</v>
      </c>
      <c r="M5" s="2" t="s">
        <v>66</v>
      </c>
      <c r="N5" s="2" t="b">
        <f>TRUE()</f>
        <v>1</v>
      </c>
      <c r="O5" s="2" t="s">
        <v>67</v>
      </c>
      <c r="P5" s="2" t="b">
        <f>TRUE()</f>
        <v>1</v>
      </c>
      <c r="Q5" s="2" t="s">
        <v>34</v>
      </c>
      <c r="R5" s="2"/>
      <c r="S5" s="2" t="s">
        <v>35</v>
      </c>
      <c r="T5" s="2" t="b">
        <f>TRUE()</f>
        <v>1</v>
      </c>
      <c r="U5" s="2" t="b">
        <f>TRUE()</f>
        <v>1</v>
      </c>
      <c r="V5" s="2" t="b">
        <f>TRUE()</f>
        <v>1</v>
      </c>
      <c r="W5" s="2" t="s">
        <v>68</v>
      </c>
      <c r="X5" s="2"/>
    </row>
    <row r="6" spans="1:24" x14ac:dyDescent="0.25">
      <c r="A6" s="2">
        <v>5</v>
      </c>
      <c r="B6" s="2" t="s">
        <v>69</v>
      </c>
      <c r="C6" s="2">
        <v>4</v>
      </c>
      <c r="D6" s="2" t="s">
        <v>70</v>
      </c>
      <c r="E6" s="2" t="s">
        <v>71</v>
      </c>
      <c r="F6" s="2" t="s">
        <v>72</v>
      </c>
      <c r="G6" s="2" t="s">
        <v>73</v>
      </c>
      <c r="H6" s="2" t="s">
        <v>74</v>
      </c>
      <c r="I6" s="2" t="b">
        <f>TRUE()</f>
        <v>1</v>
      </c>
      <c r="J6" s="2" t="s">
        <v>75</v>
      </c>
      <c r="K6" s="2" t="s">
        <v>76</v>
      </c>
      <c r="L6" s="2" t="b">
        <f>TRUE()</f>
        <v>1</v>
      </c>
      <c r="M6" s="2" t="s">
        <v>77</v>
      </c>
      <c r="N6" s="2" t="b">
        <f>TRUE()</f>
        <v>1</v>
      </c>
      <c r="O6" s="2" t="s">
        <v>78</v>
      </c>
      <c r="P6" s="2" t="b">
        <f>TRUE()</f>
        <v>1</v>
      </c>
      <c r="Q6" s="2" t="s">
        <v>34</v>
      </c>
      <c r="R6" s="2"/>
      <c r="S6" s="2" t="s">
        <v>35</v>
      </c>
      <c r="T6" s="2" t="b">
        <f>TRUE()</f>
        <v>1</v>
      </c>
      <c r="U6" s="2" t="b">
        <f>TRUE()</f>
        <v>1</v>
      </c>
      <c r="V6" s="2" t="b">
        <f>TRUE()</f>
        <v>1</v>
      </c>
      <c r="W6" s="2" t="s">
        <v>79</v>
      </c>
      <c r="X6" s="2"/>
    </row>
    <row r="7" spans="1:24" x14ac:dyDescent="0.25">
      <c r="A7" s="2">
        <v>6</v>
      </c>
      <c r="B7" s="2" t="s">
        <v>80</v>
      </c>
      <c r="C7" s="2">
        <v>5</v>
      </c>
      <c r="D7" s="2" t="s">
        <v>81</v>
      </c>
      <c r="E7" s="2" t="s">
        <v>82</v>
      </c>
      <c r="F7" s="2" t="s">
        <v>83</v>
      </c>
      <c r="G7" s="2" t="s">
        <v>84</v>
      </c>
      <c r="H7" s="2" t="s">
        <v>85</v>
      </c>
      <c r="I7" s="2" t="b">
        <f>TRUE()</f>
        <v>1</v>
      </c>
      <c r="J7" s="2" t="s">
        <v>86</v>
      </c>
      <c r="K7" s="2" t="s">
        <v>87</v>
      </c>
      <c r="L7" s="2" t="b">
        <f>FALSE()</f>
        <v>0</v>
      </c>
      <c r="M7" s="2" t="s">
        <v>88</v>
      </c>
      <c r="N7" s="2" t="b">
        <f>FALSE()</f>
        <v>0</v>
      </c>
      <c r="O7" s="2" t="s">
        <v>89</v>
      </c>
      <c r="P7" s="2" t="b">
        <f>TRUE()</f>
        <v>1</v>
      </c>
      <c r="Q7" s="2" t="s">
        <v>34</v>
      </c>
      <c r="R7" s="2"/>
      <c r="S7" s="2" t="s">
        <v>35</v>
      </c>
      <c r="T7" s="2" t="b">
        <f>TRUE()</f>
        <v>1</v>
      </c>
      <c r="U7" s="2" t="b">
        <f>TRUE()</f>
        <v>1</v>
      </c>
      <c r="V7" s="2" t="b">
        <f>TRUE()</f>
        <v>1</v>
      </c>
      <c r="W7" s="2" t="s">
        <v>90</v>
      </c>
      <c r="X7" s="2"/>
    </row>
    <row r="8" spans="1:24" x14ac:dyDescent="0.25">
      <c r="A8" s="2">
        <v>7</v>
      </c>
      <c r="B8" s="2" t="s">
        <v>91</v>
      </c>
      <c r="C8" s="2">
        <v>3</v>
      </c>
      <c r="D8" s="2" t="s">
        <v>92</v>
      </c>
      <c r="E8" s="2" t="s">
        <v>93</v>
      </c>
      <c r="F8" s="2" t="s">
        <v>94</v>
      </c>
      <c r="G8" s="2" t="s">
        <v>95</v>
      </c>
      <c r="H8" s="2" t="s">
        <v>96</v>
      </c>
      <c r="I8" s="2" t="b">
        <f>TRUE()</f>
        <v>1</v>
      </c>
      <c r="J8" s="2" t="s">
        <v>97</v>
      </c>
      <c r="K8" s="2" t="s">
        <v>98</v>
      </c>
      <c r="L8" s="2" t="b">
        <f>TRUE()</f>
        <v>1</v>
      </c>
      <c r="M8" s="2" t="s">
        <v>99</v>
      </c>
      <c r="N8" s="2" t="b">
        <f>TRUE()</f>
        <v>1</v>
      </c>
      <c r="O8" s="2" t="s">
        <v>100</v>
      </c>
      <c r="P8" s="2" t="b">
        <f>TRUE()</f>
        <v>1</v>
      </c>
      <c r="Q8" s="2" t="s">
        <v>34</v>
      </c>
      <c r="R8" s="2"/>
      <c r="S8" s="2" t="s">
        <v>35</v>
      </c>
      <c r="T8" s="2" t="b">
        <f>TRUE()</f>
        <v>1</v>
      </c>
      <c r="U8" s="2" t="b">
        <f>TRUE()</f>
        <v>1</v>
      </c>
      <c r="V8" s="2" t="b">
        <f>TRUE()</f>
        <v>1</v>
      </c>
      <c r="W8" s="2" t="s">
        <v>101</v>
      </c>
      <c r="X8" s="2"/>
    </row>
    <row r="9" spans="1:24" x14ac:dyDescent="0.25">
      <c r="A9" s="2">
        <v>8</v>
      </c>
      <c r="B9" s="2" t="s">
        <v>102</v>
      </c>
      <c r="C9" s="2">
        <v>3</v>
      </c>
      <c r="D9" s="2" t="s">
        <v>103</v>
      </c>
      <c r="E9" s="2" t="s">
        <v>104</v>
      </c>
      <c r="F9" s="2" t="s">
        <v>105</v>
      </c>
      <c r="G9" s="2" t="s">
        <v>106</v>
      </c>
      <c r="H9" s="2" t="s">
        <v>107</v>
      </c>
      <c r="I9" s="2" t="b">
        <f>TRUE()</f>
        <v>1</v>
      </c>
      <c r="J9" s="2" t="s">
        <v>108</v>
      </c>
      <c r="K9" s="2" t="s">
        <v>109</v>
      </c>
      <c r="L9" s="2" t="b">
        <f>TRUE()</f>
        <v>1</v>
      </c>
      <c r="M9" s="2" t="s">
        <v>110</v>
      </c>
      <c r="N9" s="2" t="b">
        <f>FALSE()</f>
        <v>0</v>
      </c>
      <c r="O9" s="2" t="s">
        <v>89</v>
      </c>
      <c r="P9" s="2" t="b">
        <f>FALSE()</f>
        <v>0</v>
      </c>
      <c r="Q9" s="2" t="s">
        <v>111</v>
      </c>
      <c r="R9" s="2" t="b">
        <f>TRUE()</f>
        <v>1</v>
      </c>
      <c r="S9" s="2" t="s">
        <v>112</v>
      </c>
      <c r="T9" s="2" t="b">
        <f>TRUE()</f>
        <v>1</v>
      </c>
      <c r="U9" s="2" t="b">
        <f>TRUE()</f>
        <v>1</v>
      </c>
      <c r="V9" s="2" t="b">
        <f>TRUE()</f>
        <v>1</v>
      </c>
      <c r="W9" s="2" t="s">
        <v>113</v>
      </c>
      <c r="X9" s="2"/>
    </row>
    <row r="10" spans="1:24" x14ac:dyDescent="0.25">
      <c r="A10" s="2">
        <v>9</v>
      </c>
      <c r="B10" s="2" t="s">
        <v>114</v>
      </c>
      <c r="C10" s="2">
        <v>6</v>
      </c>
      <c r="D10" s="2" t="s">
        <v>115</v>
      </c>
      <c r="E10" s="2" t="s">
        <v>116</v>
      </c>
      <c r="F10" s="2" t="s">
        <v>117</v>
      </c>
      <c r="G10" s="2" t="s">
        <v>118</v>
      </c>
      <c r="H10" s="2" t="s">
        <v>119</v>
      </c>
      <c r="I10" s="2" t="b">
        <f>TRUE()</f>
        <v>1</v>
      </c>
      <c r="J10" s="2" t="s">
        <v>120</v>
      </c>
      <c r="K10" s="2" t="s">
        <v>121</v>
      </c>
      <c r="L10" s="2" t="b">
        <f>TRUE()</f>
        <v>1</v>
      </c>
      <c r="M10" s="2" t="s">
        <v>122</v>
      </c>
      <c r="N10" s="2" t="b">
        <f>TRUE()</f>
        <v>1</v>
      </c>
      <c r="O10" s="2" t="s">
        <v>123</v>
      </c>
      <c r="P10" s="2" t="b">
        <f>FALSE()</f>
        <v>0</v>
      </c>
      <c r="Q10" s="2" t="s">
        <v>111</v>
      </c>
      <c r="R10" s="2" t="b">
        <f>TRUE()</f>
        <v>1</v>
      </c>
      <c r="S10" s="2" t="s">
        <v>124</v>
      </c>
      <c r="T10" s="2" t="b">
        <f>TRUE()</f>
        <v>1</v>
      </c>
      <c r="U10" s="2" t="b">
        <f>TRUE()</f>
        <v>1</v>
      </c>
      <c r="V10" s="2" t="b">
        <f>TRUE()</f>
        <v>1</v>
      </c>
      <c r="W10" s="2" t="s">
        <v>125</v>
      </c>
      <c r="X10" s="2"/>
    </row>
    <row r="11" spans="1:24" x14ac:dyDescent="0.25">
      <c r="A11" s="2">
        <v>10</v>
      </c>
      <c r="B11" s="2" t="s">
        <v>126</v>
      </c>
      <c r="C11" s="2">
        <v>7</v>
      </c>
      <c r="D11" s="2" t="s">
        <v>127</v>
      </c>
      <c r="E11" s="2" t="s">
        <v>128</v>
      </c>
      <c r="F11" s="2" t="s">
        <v>129</v>
      </c>
      <c r="G11" s="2" t="s">
        <v>130</v>
      </c>
      <c r="H11" s="2" t="s">
        <v>131</v>
      </c>
      <c r="I11" s="2" t="b">
        <f>TRUE()</f>
        <v>1</v>
      </c>
      <c r="J11" s="2" t="s">
        <v>132</v>
      </c>
      <c r="K11" s="2" t="s">
        <v>133</v>
      </c>
      <c r="L11" s="2" t="b">
        <f>TRUE()</f>
        <v>1</v>
      </c>
      <c r="M11" s="2" t="s">
        <v>99</v>
      </c>
      <c r="N11" s="2" t="b">
        <f>FALSE()</f>
        <v>0</v>
      </c>
      <c r="O11" s="2" t="s">
        <v>89</v>
      </c>
      <c r="P11" s="2" t="b">
        <f>TRUE()</f>
        <v>1</v>
      </c>
      <c r="Q11" s="2" t="s">
        <v>34</v>
      </c>
      <c r="R11" s="2"/>
      <c r="S11" s="2" t="s">
        <v>35</v>
      </c>
      <c r="T11" s="2" t="b">
        <f>TRUE()</f>
        <v>1</v>
      </c>
      <c r="U11" s="2" t="b">
        <f>TRUE()</f>
        <v>1</v>
      </c>
      <c r="V11" s="2" t="b">
        <f>TRUE()</f>
        <v>1</v>
      </c>
      <c r="W11" s="2" t="s">
        <v>134</v>
      </c>
      <c r="X11" s="2"/>
    </row>
    <row r="12" spans="1:24" x14ac:dyDescent="0.25">
      <c r="A12" s="2">
        <v>12</v>
      </c>
      <c r="B12" s="2" t="s">
        <v>135</v>
      </c>
      <c r="C12" s="2">
        <v>8</v>
      </c>
      <c r="D12" s="2" t="s">
        <v>136</v>
      </c>
      <c r="E12" s="2" t="s">
        <v>137</v>
      </c>
      <c r="F12" s="2" t="s">
        <v>138</v>
      </c>
      <c r="G12" s="2" t="s">
        <v>139</v>
      </c>
      <c r="H12" s="2" t="s">
        <v>140</v>
      </c>
      <c r="I12" s="2" t="b">
        <f>TRUE()</f>
        <v>1</v>
      </c>
      <c r="J12" s="2" t="s">
        <v>141</v>
      </c>
      <c r="K12" s="2" t="s">
        <v>142</v>
      </c>
      <c r="L12" s="2" t="b">
        <f>TRUE()</f>
        <v>1</v>
      </c>
      <c r="M12" s="2" t="s">
        <v>143</v>
      </c>
      <c r="N12" s="2" t="b">
        <f>TRUE()</f>
        <v>1</v>
      </c>
      <c r="O12" s="2" t="s">
        <v>144</v>
      </c>
      <c r="P12" s="2" t="b">
        <f>TRUE()</f>
        <v>1</v>
      </c>
      <c r="Q12" s="2" t="s">
        <v>34</v>
      </c>
      <c r="R12" s="2"/>
      <c r="S12" s="2" t="s">
        <v>35</v>
      </c>
      <c r="T12" s="2" t="b">
        <f>TRUE()</f>
        <v>1</v>
      </c>
      <c r="U12" s="2" t="b">
        <f>TRUE()</f>
        <v>1</v>
      </c>
      <c r="V12" s="2" t="b">
        <f>TRUE()</f>
        <v>1</v>
      </c>
      <c r="W12" s="2" t="s">
        <v>145</v>
      </c>
      <c r="X12" s="2"/>
    </row>
    <row r="13" spans="1:24" x14ac:dyDescent="0.25">
      <c r="A13" s="2">
        <v>13</v>
      </c>
      <c r="B13" s="2" t="s">
        <v>146</v>
      </c>
      <c r="C13" s="2">
        <v>1</v>
      </c>
      <c r="D13" s="2" t="s">
        <v>147</v>
      </c>
      <c r="E13" s="2" t="s">
        <v>148</v>
      </c>
      <c r="F13" s="2" t="s">
        <v>149</v>
      </c>
      <c r="G13" s="2" t="s">
        <v>150</v>
      </c>
      <c r="H13" s="2"/>
      <c r="I13" s="2" t="b">
        <f>FALSE()</f>
        <v>0</v>
      </c>
      <c r="J13" s="2" t="s">
        <v>151</v>
      </c>
      <c r="K13" s="2" t="s">
        <v>152</v>
      </c>
      <c r="L13" s="2" t="b">
        <f>TRUE()</f>
        <v>1</v>
      </c>
      <c r="M13" s="2" t="s">
        <v>153</v>
      </c>
      <c r="N13" s="2" t="b">
        <f>TRUE()</f>
        <v>1</v>
      </c>
      <c r="O13" s="2" t="s">
        <v>154</v>
      </c>
      <c r="P13" s="2" t="b">
        <f>FALSE()</f>
        <v>0</v>
      </c>
      <c r="Q13" s="2" t="s">
        <v>155</v>
      </c>
      <c r="R13" s="2" t="b">
        <f>TRUE()</f>
        <v>1</v>
      </c>
      <c r="S13" s="2" t="s">
        <v>156</v>
      </c>
      <c r="T13" s="2" t="b">
        <f>TRUE()</f>
        <v>1</v>
      </c>
      <c r="U13" s="2" t="b">
        <f>TRUE()</f>
        <v>1</v>
      </c>
      <c r="V13" s="2" t="b">
        <f>TRUE()</f>
        <v>1</v>
      </c>
      <c r="W13" s="2" t="s">
        <v>157</v>
      </c>
      <c r="X13" s="2"/>
    </row>
    <row r="14" spans="1:24" x14ac:dyDescent="0.25">
      <c r="A14" s="2">
        <v>14</v>
      </c>
      <c r="B14" s="2" t="s">
        <v>158</v>
      </c>
      <c r="C14" s="2">
        <v>1</v>
      </c>
      <c r="D14" s="2" t="s">
        <v>159</v>
      </c>
      <c r="E14" s="2" t="s">
        <v>160</v>
      </c>
      <c r="F14" s="2" t="s">
        <v>161</v>
      </c>
      <c r="G14" s="2" t="s">
        <v>162</v>
      </c>
      <c r="H14" s="2"/>
      <c r="I14" s="2" t="b">
        <f>FALSE()</f>
        <v>0</v>
      </c>
      <c r="J14" s="2" t="s">
        <v>163</v>
      </c>
      <c r="K14" s="2" t="s">
        <v>164</v>
      </c>
      <c r="L14" s="2" t="b">
        <f>FALSE()</f>
        <v>0</v>
      </c>
      <c r="M14" s="2" t="s">
        <v>165</v>
      </c>
      <c r="N14" s="2" t="b">
        <f>TRUE()</f>
        <v>1</v>
      </c>
      <c r="O14" s="2" t="s">
        <v>33</v>
      </c>
      <c r="P14" s="2" t="b">
        <f>FALSE()</f>
        <v>0</v>
      </c>
      <c r="Q14" s="2" t="s">
        <v>166</v>
      </c>
      <c r="R14" s="2"/>
      <c r="S14" s="2" t="s">
        <v>35</v>
      </c>
      <c r="T14" s="2" t="b">
        <f>TRUE()</f>
        <v>1</v>
      </c>
      <c r="U14" s="2" t="b">
        <f>TRUE()</f>
        <v>1</v>
      </c>
      <c r="V14" s="2" t="b">
        <f>TRUE()</f>
        <v>1</v>
      </c>
      <c r="W14" s="2" t="s">
        <v>167</v>
      </c>
      <c r="X14" s="2"/>
    </row>
    <row r="15" spans="1:24" x14ac:dyDescent="0.25">
      <c r="A15" s="2">
        <v>15</v>
      </c>
      <c r="B15" s="2" t="s">
        <v>168</v>
      </c>
      <c r="C15" s="2">
        <v>3</v>
      </c>
      <c r="D15" s="2" t="s">
        <v>169</v>
      </c>
      <c r="E15" s="2" t="s">
        <v>170</v>
      </c>
      <c r="F15" s="2" t="s">
        <v>171</v>
      </c>
      <c r="G15" s="2" t="s">
        <v>172</v>
      </c>
      <c r="H15" s="2" t="s">
        <v>173</v>
      </c>
      <c r="I15" s="2" t="b">
        <f>TRUE()</f>
        <v>1</v>
      </c>
      <c r="J15" s="2" t="s">
        <v>174</v>
      </c>
      <c r="K15" s="2" t="s">
        <v>175</v>
      </c>
      <c r="L15" s="2" t="b">
        <f>TRUE()</f>
        <v>1</v>
      </c>
      <c r="M15" s="2" t="s">
        <v>176</v>
      </c>
      <c r="N15" s="2" t="b">
        <f>FALSE()</f>
        <v>0</v>
      </c>
      <c r="O15" s="2" t="s">
        <v>177</v>
      </c>
      <c r="P15" s="2" t="b">
        <f>FALSE()</f>
        <v>0</v>
      </c>
      <c r="Q15" s="2" t="s">
        <v>178</v>
      </c>
      <c r="R15" s="2"/>
      <c r="S15" s="2" t="s">
        <v>35</v>
      </c>
      <c r="T15" s="2" t="b">
        <f>TRUE()</f>
        <v>1</v>
      </c>
      <c r="U15" s="2" t="b">
        <f>TRUE()</f>
        <v>1</v>
      </c>
      <c r="V15" s="2" t="b">
        <f>TRUE()</f>
        <v>1</v>
      </c>
      <c r="W15" s="2" t="s">
        <v>179</v>
      </c>
      <c r="X15" s="2"/>
    </row>
    <row r="16" spans="1:24" x14ac:dyDescent="0.25">
      <c r="A16" s="2">
        <v>16</v>
      </c>
      <c r="B16" s="2" t="s">
        <v>180</v>
      </c>
      <c r="C16" s="2">
        <v>9</v>
      </c>
      <c r="D16" s="2" t="s">
        <v>181</v>
      </c>
      <c r="E16" s="2" t="s">
        <v>182</v>
      </c>
      <c r="F16" s="2" t="s">
        <v>183</v>
      </c>
      <c r="G16" s="2" t="s">
        <v>184</v>
      </c>
      <c r="H16" s="2" t="s">
        <v>185</v>
      </c>
      <c r="I16" s="2" t="b">
        <f>TRUE()</f>
        <v>1</v>
      </c>
      <c r="J16" s="2" t="s">
        <v>186</v>
      </c>
      <c r="K16" s="2" t="s">
        <v>187</v>
      </c>
      <c r="L16" s="2" t="b">
        <f>TRUE()</f>
        <v>1</v>
      </c>
      <c r="M16" s="2" t="s">
        <v>188</v>
      </c>
      <c r="N16" s="2" t="b">
        <f>FALSE()</f>
        <v>0</v>
      </c>
      <c r="O16" s="2" t="s">
        <v>177</v>
      </c>
      <c r="P16" s="2" t="b">
        <f>TRUE()</f>
        <v>1</v>
      </c>
      <c r="Q16" s="2" t="s">
        <v>189</v>
      </c>
      <c r="R16" s="2" t="b">
        <f>TRUE()</f>
        <v>1</v>
      </c>
      <c r="S16" s="2" t="s">
        <v>190</v>
      </c>
      <c r="T16" s="2" t="b">
        <f>TRUE()</f>
        <v>1</v>
      </c>
      <c r="U16" s="2" t="b">
        <f>TRUE()</f>
        <v>1</v>
      </c>
      <c r="V16" s="2" t="b">
        <f>TRUE()</f>
        <v>1</v>
      </c>
      <c r="W16" s="2" t="s">
        <v>191</v>
      </c>
      <c r="X16" s="2"/>
    </row>
    <row r="17" spans="1:24" x14ac:dyDescent="0.25">
      <c r="A17" s="2">
        <v>17</v>
      </c>
      <c r="B17" s="2" t="s">
        <v>192</v>
      </c>
      <c r="C17" s="2">
        <v>1</v>
      </c>
      <c r="D17" s="2" t="s">
        <v>193</v>
      </c>
      <c r="E17" s="2" t="s">
        <v>193</v>
      </c>
      <c r="F17" s="2" t="s">
        <v>194</v>
      </c>
      <c r="G17" s="2" t="s">
        <v>195</v>
      </c>
      <c r="H17" s="2" t="s">
        <v>196</v>
      </c>
      <c r="I17" s="2" t="b">
        <f>TRUE()</f>
        <v>1</v>
      </c>
      <c r="J17" s="2" t="s">
        <v>197</v>
      </c>
      <c r="K17" s="2" t="s">
        <v>198</v>
      </c>
      <c r="L17" s="2" t="b">
        <f>FALSE()</f>
        <v>0</v>
      </c>
      <c r="M17" s="2" t="s">
        <v>165</v>
      </c>
      <c r="N17" s="2" t="b">
        <f>FALSE()</f>
        <v>0</v>
      </c>
      <c r="O17" s="2" t="s">
        <v>177</v>
      </c>
      <c r="P17" s="2" t="b">
        <f>FALSE()</f>
        <v>0</v>
      </c>
      <c r="Q17" s="2" t="s">
        <v>155</v>
      </c>
      <c r="R17" s="2"/>
      <c r="S17" s="2" t="s">
        <v>35</v>
      </c>
      <c r="T17" s="2" t="b">
        <f>TRUE()</f>
        <v>1</v>
      </c>
      <c r="U17" s="2" t="b">
        <f>TRUE()</f>
        <v>1</v>
      </c>
      <c r="V17" s="2" t="b">
        <f>TRUE()</f>
        <v>1</v>
      </c>
      <c r="W17" s="2" t="s">
        <v>199</v>
      </c>
      <c r="X17" s="2"/>
    </row>
    <row r="18" spans="1:24" x14ac:dyDescent="0.25">
      <c r="A18" s="2">
        <v>18</v>
      </c>
      <c r="B18" s="2" t="s">
        <v>200</v>
      </c>
      <c r="C18" s="2">
        <v>3</v>
      </c>
      <c r="D18" s="2" t="s">
        <v>201</v>
      </c>
      <c r="E18" s="2" t="s">
        <v>202</v>
      </c>
      <c r="F18" s="2" t="s">
        <v>203</v>
      </c>
      <c r="G18" s="2" t="s">
        <v>204</v>
      </c>
      <c r="H18" s="2" t="s">
        <v>205</v>
      </c>
      <c r="I18" s="2" t="b">
        <f>TRUE()</f>
        <v>1</v>
      </c>
      <c r="J18" s="2" t="s">
        <v>206</v>
      </c>
      <c r="K18" s="2" t="s">
        <v>207</v>
      </c>
      <c r="L18" s="2" t="b">
        <f>TRUE()</f>
        <v>1</v>
      </c>
      <c r="M18" s="2" t="s">
        <v>208</v>
      </c>
      <c r="N18" s="2" t="b">
        <f>FALSE()</f>
        <v>0</v>
      </c>
      <c r="O18" s="2" t="s">
        <v>177</v>
      </c>
      <c r="P18" s="2" t="b">
        <f>TRUE()</f>
        <v>1</v>
      </c>
      <c r="Q18" s="2" t="s">
        <v>209</v>
      </c>
      <c r="R18" s="2"/>
      <c r="S18" s="2" t="s">
        <v>35</v>
      </c>
      <c r="T18" s="2" t="b">
        <f>FALSE()</f>
        <v>0</v>
      </c>
      <c r="U18" s="2" t="b">
        <f>TRUE()</f>
        <v>1</v>
      </c>
      <c r="V18" s="2" t="b">
        <f>TRUE()</f>
        <v>1</v>
      </c>
      <c r="W18" s="2" t="s">
        <v>210</v>
      </c>
      <c r="X18" s="2"/>
    </row>
    <row r="19" spans="1:24" x14ac:dyDescent="0.25">
      <c r="A19" s="2">
        <v>19</v>
      </c>
      <c r="B19" s="2" t="s">
        <v>211</v>
      </c>
      <c r="C19" s="2">
        <v>10</v>
      </c>
      <c r="D19" s="2" t="s">
        <v>212</v>
      </c>
      <c r="E19" s="2" t="s">
        <v>213</v>
      </c>
      <c r="F19" s="2" t="s">
        <v>214</v>
      </c>
      <c r="G19" s="2" t="s">
        <v>215</v>
      </c>
      <c r="H19" s="2" t="s">
        <v>216</v>
      </c>
      <c r="I19" s="2" t="b">
        <f>TRUE()</f>
        <v>1</v>
      </c>
      <c r="J19" s="2" t="s">
        <v>217</v>
      </c>
      <c r="K19" s="2" t="s">
        <v>218</v>
      </c>
      <c r="L19" s="2" t="b">
        <f>TRUE()</f>
        <v>1</v>
      </c>
      <c r="M19" s="2" t="s">
        <v>219</v>
      </c>
      <c r="N19" s="2" t="b">
        <f>FALSE()</f>
        <v>0</v>
      </c>
      <c r="O19" s="2" t="s">
        <v>177</v>
      </c>
      <c r="P19" s="2" t="b">
        <f>TRUE()</f>
        <v>1</v>
      </c>
      <c r="Q19" s="2" t="s">
        <v>209</v>
      </c>
      <c r="R19" s="2"/>
      <c r="S19" s="2" t="s">
        <v>35</v>
      </c>
      <c r="T19" s="2" t="b">
        <f>TRUE()</f>
        <v>1</v>
      </c>
      <c r="U19" s="2" t="b">
        <f>TRUE()</f>
        <v>1</v>
      </c>
      <c r="V19" s="2" t="b">
        <f>TRUE()</f>
        <v>1</v>
      </c>
      <c r="W19" s="2" t="s">
        <v>220</v>
      </c>
      <c r="X19" s="2"/>
    </row>
    <row r="20" spans="1:24" x14ac:dyDescent="0.25">
      <c r="A20" s="2">
        <v>20</v>
      </c>
      <c r="B20" s="2" t="s">
        <v>221</v>
      </c>
      <c r="C20" s="2">
        <v>10</v>
      </c>
      <c r="D20" s="2" t="s">
        <v>222</v>
      </c>
      <c r="E20" s="2" t="s">
        <v>223</v>
      </c>
      <c r="F20" s="2" t="s">
        <v>224</v>
      </c>
      <c r="G20" s="2" t="s">
        <v>225</v>
      </c>
      <c r="H20" s="2" t="s">
        <v>226</v>
      </c>
      <c r="I20" s="2" t="b">
        <f>TRUE()</f>
        <v>1</v>
      </c>
      <c r="J20" s="2" t="s">
        <v>227</v>
      </c>
      <c r="K20" s="2" t="s">
        <v>228</v>
      </c>
      <c r="L20" s="2" t="b">
        <f>TRUE()</f>
        <v>1</v>
      </c>
      <c r="M20" s="2" t="s">
        <v>229</v>
      </c>
      <c r="N20" s="2" t="b">
        <f>FALSE()</f>
        <v>0</v>
      </c>
      <c r="O20" s="2" t="s">
        <v>177</v>
      </c>
      <c r="P20" s="2" t="b">
        <f>FALSE()</f>
        <v>0</v>
      </c>
      <c r="Q20" s="2" t="s">
        <v>155</v>
      </c>
      <c r="R20" s="2" t="b">
        <f>TRUE()</f>
        <v>1</v>
      </c>
      <c r="S20" s="2" t="s">
        <v>230</v>
      </c>
      <c r="T20" s="2" t="b">
        <f>TRUE()</f>
        <v>1</v>
      </c>
      <c r="U20" s="2" t="b">
        <f>TRUE()</f>
        <v>1</v>
      </c>
      <c r="V20" s="2" t="b">
        <f>TRUE()</f>
        <v>1</v>
      </c>
      <c r="W20" s="2" t="s">
        <v>231</v>
      </c>
      <c r="X20" s="2"/>
    </row>
    <row r="21" spans="1:24" x14ac:dyDescent="0.25">
      <c r="A21" s="2">
        <v>21</v>
      </c>
      <c r="B21" s="2" t="s">
        <v>232</v>
      </c>
      <c r="C21" s="2">
        <v>2</v>
      </c>
      <c r="D21" s="2" t="s">
        <v>233</v>
      </c>
      <c r="E21" s="2" t="s">
        <v>234</v>
      </c>
      <c r="F21" s="2" t="s">
        <v>235</v>
      </c>
      <c r="G21" s="2" t="s">
        <v>236</v>
      </c>
      <c r="H21" s="2" t="s">
        <v>237</v>
      </c>
      <c r="I21" s="2" t="b">
        <f>TRUE()</f>
        <v>1</v>
      </c>
      <c r="J21" s="2" t="s">
        <v>238</v>
      </c>
      <c r="K21" s="2" t="s">
        <v>239</v>
      </c>
      <c r="L21" s="2" t="b">
        <f>TRUE()</f>
        <v>1</v>
      </c>
      <c r="M21" s="2" t="s">
        <v>240</v>
      </c>
      <c r="N21" s="2" t="b">
        <f>FALSE()</f>
        <v>0</v>
      </c>
      <c r="O21" s="2" t="s">
        <v>177</v>
      </c>
      <c r="P21" s="2" t="b">
        <f>TRUE()</f>
        <v>1</v>
      </c>
      <c r="Q21" s="2" t="s">
        <v>209</v>
      </c>
      <c r="R21" s="2"/>
      <c r="S21" s="2" t="s">
        <v>35</v>
      </c>
      <c r="T21" s="2" t="b">
        <f>FALSE()</f>
        <v>0</v>
      </c>
      <c r="U21" s="2" t="b">
        <f>TRUE()</f>
        <v>1</v>
      </c>
      <c r="V21" s="2" t="b">
        <f>TRUE()</f>
        <v>1</v>
      </c>
      <c r="W21" s="2" t="s">
        <v>241</v>
      </c>
      <c r="X21" s="2"/>
    </row>
    <row r="22" spans="1:24" x14ac:dyDescent="0.25">
      <c r="A22" s="2">
        <v>22</v>
      </c>
      <c r="B22" s="2" t="s">
        <v>242</v>
      </c>
      <c r="C22" s="2">
        <v>2</v>
      </c>
      <c r="D22" s="2" t="s">
        <v>243</v>
      </c>
      <c r="E22" s="2" t="s">
        <v>244</v>
      </c>
      <c r="F22" s="2" t="s">
        <v>245</v>
      </c>
      <c r="G22" s="2" t="s">
        <v>246</v>
      </c>
      <c r="H22" s="2" t="s">
        <v>247</v>
      </c>
      <c r="I22" s="2" t="b">
        <f>TRUE()</f>
        <v>1</v>
      </c>
      <c r="J22" s="2" t="s">
        <v>248</v>
      </c>
      <c r="K22" s="2" t="s">
        <v>249</v>
      </c>
      <c r="L22" s="2" t="b">
        <f>FALSE()</f>
        <v>0</v>
      </c>
      <c r="M22" s="2" t="s">
        <v>165</v>
      </c>
      <c r="N22" s="2" t="b">
        <f>FALSE()</f>
        <v>0</v>
      </c>
      <c r="O22" s="2" t="s">
        <v>177</v>
      </c>
      <c r="P22" s="2" t="b">
        <f>TRUE()</f>
        <v>1</v>
      </c>
      <c r="Q22" s="2" t="s">
        <v>209</v>
      </c>
      <c r="R22" s="2"/>
      <c r="S22" s="2" t="s">
        <v>35</v>
      </c>
      <c r="T22" s="2" t="b">
        <f>TRUE()</f>
        <v>1</v>
      </c>
      <c r="U22" s="2" t="b">
        <f>TRUE()</f>
        <v>1</v>
      </c>
      <c r="V22" s="2" t="b">
        <f>TRUE()</f>
        <v>1</v>
      </c>
      <c r="W22" s="2" t="s">
        <v>250</v>
      </c>
      <c r="X22" s="2"/>
    </row>
    <row r="23" spans="1:24" x14ac:dyDescent="0.25">
      <c r="A23" s="2">
        <v>24</v>
      </c>
      <c r="B23" s="2" t="s">
        <v>251</v>
      </c>
      <c r="C23" s="2">
        <v>11</v>
      </c>
      <c r="D23" s="2" t="s">
        <v>252</v>
      </c>
      <c r="E23" s="2" t="s">
        <v>253</v>
      </c>
      <c r="F23" s="2" t="s">
        <v>254</v>
      </c>
      <c r="G23" s="2" t="s">
        <v>255</v>
      </c>
      <c r="H23" s="2" t="s">
        <v>256</v>
      </c>
      <c r="I23" s="2" t="b">
        <f>TRUE()</f>
        <v>1</v>
      </c>
      <c r="J23" s="2" t="s">
        <v>257</v>
      </c>
      <c r="K23" s="2" t="s">
        <v>258</v>
      </c>
      <c r="L23" s="2" t="b">
        <f>TRUE()</f>
        <v>1</v>
      </c>
      <c r="M23" s="2" t="s">
        <v>259</v>
      </c>
      <c r="N23" s="2" t="b">
        <f>TRUE()</f>
        <v>1</v>
      </c>
      <c r="O23" s="2" t="s">
        <v>33</v>
      </c>
      <c r="P23" s="2" t="b">
        <f>FALSE()</f>
        <v>0</v>
      </c>
      <c r="Q23" s="2" t="s">
        <v>260</v>
      </c>
      <c r="R23" s="2"/>
      <c r="S23" s="2" t="s">
        <v>35</v>
      </c>
      <c r="T23" s="2" t="b">
        <f>TRUE()</f>
        <v>1</v>
      </c>
      <c r="U23" s="2" t="b">
        <f>TRUE()</f>
        <v>1</v>
      </c>
      <c r="V23" s="2" t="b">
        <f>TRUE()</f>
        <v>1</v>
      </c>
      <c r="W23" s="2" t="s">
        <v>191</v>
      </c>
      <c r="X23" s="2"/>
    </row>
    <row r="24" spans="1:24" x14ac:dyDescent="0.25">
      <c r="A24" s="2">
        <v>25</v>
      </c>
      <c r="B24" s="2" t="s">
        <v>261</v>
      </c>
      <c r="C24" s="2">
        <v>1</v>
      </c>
      <c r="D24" s="2" t="s">
        <v>262</v>
      </c>
      <c r="E24" s="2" t="s">
        <v>263</v>
      </c>
      <c r="F24" s="2" t="s">
        <v>264</v>
      </c>
      <c r="G24" s="2" t="s">
        <v>265</v>
      </c>
      <c r="H24" s="2" t="s">
        <v>266</v>
      </c>
      <c r="I24" s="2" t="b">
        <f>TRUE()</f>
        <v>1</v>
      </c>
      <c r="J24" s="2" t="s">
        <v>267</v>
      </c>
      <c r="K24" s="2" t="s">
        <v>268</v>
      </c>
      <c r="L24" s="2" t="b">
        <f>TRUE()</f>
        <v>1</v>
      </c>
      <c r="M24" s="2" t="s">
        <v>269</v>
      </c>
      <c r="N24" s="2" t="b">
        <f>TRUE()</f>
        <v>1</v>
      </c>
      <c r="O24" s="2" t="s">
        <v>33</v>
      </c>
      <c r="P24" s="2" t="b">
        <f>TRUE()</f>
        <v>1</v>
      </c>
      <c r="Q24" s="2" t="s">
        <v>209</v>
      </c>
      <c r="R24" s="2" t="b">
        <f>TRUE()</f>
        <v>1</v>
      </c>
      <c r="S24" s="2" t="s">
        <v>270</v>
      </c>
      <c r="T24" s="2" t="b">
        <f>FALSE()</f>
        <v>0</v>
      </c>
      <c r="U24" s="2" t="b">
        <f>TRUE()</f>
        <v>1</v>
      </c>
      <c r="V24" s="2" t="b">
        <f>TRUE()</f>
        <v>1</v>
      </c>
      <c r="W24" s="2" t="s">
        <v>271</v>
      </c>
      <c r="X24" s="2"/>
    </row>
    <row r="25" spans="1:24" x14ac:dyDescent="0.25">
      <c r="A25" s="2">
        <v>26</v>
      </c>
      <c r="B25" s="2" t="s">
        <v>272</v>
      </c>
      <c r="C25" s="2">
        <v>11</v>
      </c>
      <c r="D25" s="2" t="s">
        <v>273</v>
      </c>
      <c r="E25" s="2" t="s">
        <v>274</v>
      </c>
      <c r="F25" s="2" t="s">
        <v>275</v>
      </c>
      <c r="G25" s="2"/>
      <c r="H25" s="2"/>
      <c r="I25" s="2" t="b">
        <f>FALSE()</f>
        <v>0</v>
      </c>
      <c r="J25" s="2" t="s">
        <v>276</v>
      </c>
      <c r="K25" s="2" t="s">
        <v>277</v>
      </c>
      <c r="L25" s="2" t="b">
        <f>TRUE()</f>
        <v>1</v>
      </c>
      <c r="M25" s="2" t="s">
        <v>259</v>
      </c>
      <c r="N25" s="2" t="b">
        <f>TRUE()</f>
        <v>1</v>
      </c>
      <c r="O25" s="2" t="s">
        <v>33</v>
      </c>
      <c r="P25" s="2" t="b">
        <f>FALSE()</f>
        <v>0</v>
      </c>
      <c r="Q25" s="2" t="s">
        <v>278</v>
      </c>
      <c r="R25" s="2"/>
      <c r="S25" s="2" t="s">
        <v>35</v>
      </c>
      <c r="T25" s="2" t="b">
        <f>TRUE()</f>
        <v>1</v>
      </c>
      <c r="U25" s="2" t="b">
        <f>TRUE()</f>
        <v>1</v>
      </c>
      <c r="V25" s="2" t="b">
        <f>TRUE()</f>
        <v>1</v>
      </c>
      <c r="W25" s="2" t="s">
        <v>279</v>
      </c>
      <c r="X25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26" customWidth="1"/>
    <col min="3" max="3" width="12" customWidth="1"/>
  </cols>
  <sheetData>
    <row r="1" spans="1:3" ht="30" customHeight="1" x14ac:dyDescent="0.25">
      <c r="A1" s="1" t="s">
        <v>2</v>
      </c>
      <c r="B1" s="1" t="s">
        <v>280</v>
      </c>
      <c r="C1" s="1" t="s">
        <v>281</v>
      </c>
    </row>
    <row r="2" spans="1:3" x14ac:dyDescent="0.25">
      <c r="A2" s="2">
        <v>1</v>
      </c>
      <c r="B2" s="2" t="s">
        <v>282</v>
      </c>
      <c r="C2" s="2" t="s">
        <v>253</v>
      </c>
    </row>
    <row r="3" spans="1:3" x14ac:dyDescent="0.25">
      <c r="A3" s="2">
        <v>2</v>
      </c>
      <c r="B3" s="2" t="s">
        <v>283</v>
      </c>
      <c r="C3" s="2" t="s">
        <v>284</v>
      </c>
    </row>
    <row r="4" spans="1:3" x14ac:dyDescent="0.25">
      <c r="A4" s="2">
        <v>3</v>
      </c>
      <c r="B4" s="2" t="s">
        <v>285</v>
      </c>
      <c r="C4" s="2" t="s">
        <v>286</v>
      </c>
    </row>
    <row r="5" spans="1:3" x14ac:dyDescent="0.25">
      <c r="A5" s="2">
        <v>4</v>
      </c>
      <c r="B5" s="2" t="s">
        <v>287</v>
      </c>
      <c r="C5" s="2" t="s">
        <v>284</v>
      </c>
    </row>
    <row r="6" spans="1:3" x14ac:dyDescent="0.25">
      <c r="A6" s="2">
        <v>5</v>
      </c>
      <c r="B6" s="2" t="s">
        <v>288</v>
      </c>
      <c r="C6" s="2" t="s">
        <v>288</v>
      </c>
    </row>
    <row r="7" spans="1:3" x14ac:dyDescent="0.25">
      <c r="A7" s="2">
        <v>6</v>
      </c>
      <c r="B7" s="2" t="s">
        <v>283</v>
      </c>
      <c r="C7" s="2" t="s">
        <v>253</v>
      </c>
    </row>
    <row r="8" spans="1:3" x14ac:dyDescent="0.25">
      <c r="A8" s="2">
        <v>7</v>
      </c>
      <c r="B8" s="2" t="s">
        <v>289</v>
      </c>
      <c r="C8" s="2" t="s">
        <v>288</v>
      </c>
    </row>
    <row r="9" spans="1:3" x14ac:dyDescent="0.25">
      <c r="A9" s="2">
        <v>8</v>
      </c>
      <c r="B9" s="2" t="s">
        <v>290</v>
      </c>
      <c r="C9" s="2" t="s">
        <v>291</v>
      </c>
    </row>
    <row r="10" spans="1:3" x14ac:dyDescent="0.25">
      <c r="A10" s="2">
        <v>9</v>
      </c>
      <c r="B10" s="2" t="s">
        <v>292</v>
      </c>
      <c r="C10" s="2" t="s">
        <v>288</v>
      </c>
    </row>
    <row r="11" spans="1:3" x14ac:dyDescent="0.25">
      <c r="A11" s="2">
        <v>10</v>
      </c>
      <c r="B11" s="2" t="s">
        <v>293</v>
      </c>
      <c r="C11" s="2" t="s">
        <v>293</v>
      </c>
    </row>
    <row r="12" spans="1:3" x14ac:dyDescent="0.25">
      <c r="A12" s="2">
        <v>11</v>
      </c>
      <c r="B12" s="2" t="s">
        <v>253</v>
      </c>
      <c r="C12" s="2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12" customWidth="1"/>
    <col min="3" max="4" width="10" customWidth="1"/>
    <col min="5" max="5" width="12" customWidth="1"/>
    <col min="6" max="6" width="11" customWidth="1"/>
    <col min="7" max="7" width="10" customWidth="1"/>
    <col min="8" max="8" width="39" customWidth="1"/>
  </cols>
  <sheetData>
    <row r="1" spans="1:8" ht="30" customHeight="1" x14ac:dyDescent="0.25">
      <c r="A1" s="1" t="s">
        <v>294</v>
      </c>
      <c r="B1" s="1" t="s">
        <v>295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</row>
    <row r="2" spans="1:8" x14ac:dyDescent="0.25">
      <c r="A2" s="2">
        <v>20250101</v>
      </c>
      <c r="B2" s="2" t="s">
        <v>302</v>
      </c>
      <c r="C2" s="2">
        <v>2025</v>
      </c>
      <c r="D2" s="2">
        <v>1</v>
      </c>
      <c r="E2" s="2" t="s">
        <v>303</v>
      </c>
      <c r="F2" s="2" t="s">
        <v>304</v>
      </c>
      <c r="G2" s="2">
        <v>1</v>
      </c>
      <c r="H2" s="2" t="s">
        <v>305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5" customWidth="1"/>
    <col min="2" max="2" width="12" customWidth="1"/>
  </cols>
  <sheetData>
    <row r="1" spans="1:2" ht="30" customHeight="1" x14ac:dyDescent="0.25">
      <c r="A1" s="1" t="s">
        <v>306</v>
      </c>
      <c r="B1" s="1" t="s">
        <v>307</v>
      </c>
    </row>
    <row r="2" spans="1:2" x14ac:dyDescent="0.25">
      <c r="A2" s="2">
        <v>1</v>
      </c>
      <c r="B2" s="2" t="s">
        <v>308</v>
      </c>
    </row>
    <row r="3" spans="1:2" x14ac:dyDescent="0.25">
      <c r="A3" s="2">
        <v>2</v>
      </c>
      <c r="B3" s="2" t="s">
        <v>309</v>
      </c>
    </row>
    <row r="4" spans="1:2" x14ac:dyDescent="0.25">
      <c r="A4" s="2">
        <v>3</v>
      </c>
      <c r="B4" s="2" t="s">
        <v>310</v>
      </c>
    </row>
    <row r="5" spans="1:2" x14ac:dyDescent="0.25">
      <c r="A5" s="2">
        <v>4</v>
      </c>
      <c r="B5" s="2" t="s">
        <v>311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9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3" customWidth="1"/>
    <col min="2" max="2" width="20" customWidth="1"/>
  </cols>
  <sheetData>
    <row r="1" spans="1:2" ht="30" customHeight="1" x14ac:dyDescent="0.25">
      <c r="A1" s="1" t="s">
        <v>312</v>
      </c>
      <c r="B1" s="1" t="s">
        <v>313</v>
      </c>
    </row>
    <row r="2" spans="1:2" x14ac:dyDescent="0.25">
      <c r="A2" s="2">
        <v>1</v>
      </c>
      <c r="B2" s="2" t="s">
        <v>314</v>
      </c>
    </row>
    <row r="3" spans="1:2" x14ac:dyDescent="0.25">
      <c r="A3" s="2">
        <v>2</v>
      </c>
      <c r="B3" s="2" t="s">
        <v>315</v>
      </c>
    </row>
    <row r="4" spans="1:2" x14ac:dyDescent="0.25">
      <c r="A4" s="2">
        <v>3</v>
      </c>
      <c r="B4" s="2" t="s">
        <v>316</v>
      </c>
    </row>
    <row r="5" spans="1:2" x14ac:dyDescent="0.25">
      <c r="A5" s="2">
        <v>4</v>
      </c>
      <c r="B5" s="2" t="s">
        <v>317</v>
      </c>
    </row>
    <row r="6" spans="1:2" x14ac:dyDescent="0.25">
      <c r="A6" s="2">
        <v>5</v>
      </c>
      <c r="B6" s="2" t="s">
        <v>318</v>
      </c>
    </row>
    <row r="7" spans="1:2" x14ac:dyDescent="0.25">
      <c r="A7" s="2">
        <v>6</v>
      </c>
      <c r="B7" s="2" t="s">
        <v>319</v>
      </c>
    </row>
    <row r="8" spans="1:2" x14ac:dyDescent="0.25">
      <c r="A8" s="2">
        <v>7</v>
      </c>
      <c r="B8" s="2" t="s">
        <v>320</v>
      </c>
    </row>
    <row r="9" spans="1:2" x14ac:dyDescent="0.25">
      <c r="A9" s="2">
        <v>8</v>
      </c>
      <c r="B9" s="2" t="s">
        <v>321</v>
      </c>
    </row>
    <row r="10" spans="1:2" x14ac:dyDescent="0.25">
      <c r="A10" s="2">
        <v>9</v>
      </c>
      <c r="B10" s="2" t="s">
        <v>322</v>
      </c>
    </row>
    <row r="11" spans="1:2" x14ac:dyDescent="0.25">
      <c r="A11" s="2">
        <v>10</v>
      </c>
      <c r="B11" s="2" t="s">
        <v>323</v>
      </c>
    </row>
    <row r="12" spans="1:2" x14ac:dyDescent="0.25">
      <c r="A12" s="2">
        <v>11</v>
      </c>
      <c r="B12" s="2" t="s">
        <v>324</v>
      </c>
    </row>
    <row r="13" spans="1:2" x14ac:dyDescent="0.25">
      <c r="A13" s="2">
        <v>12</v>
      </c>
      <c r="B13" s="2" t="s">
        <v>325</v>
      </c>
    </row>
    <row r="14" spans="1:2" x14ac:dyDescent="0.25">
      <c r="A14" s="2">
        <v>13</v>
      </c>
      <c r="B14" s="2" t="s">
        <v>326</v>
      </c>
    </row>
    <row r="15" spans="1:2" x14ac:dyDescent="0.25">
      <c r="A15" s="2">
        <v>14</v>
      </c>
      <c r="B15" s="2" t="s">
        <v>327</v>
      </c>
    </row>
    <row r="16" spans="1:2" x14ac:dyDescent="0.25">
      <c r="A16" s="2">
        <v>15</v>
      </c>
      <c r="B16" s="2" t="s">
        <v>328</v>
      </c>
    </row>
    <row r="17" spans="1:2" x14ac:dyDescent="0.25">
      <c r="A17" s="2">
        <v>16</v>
      </c>
      <c r="B17" s="2" t="s">
        <v>329</v>
      </c>
    </row>
    <row r="18" spans="1:2" x14ac:dyDescent="0.25">
      <c r="A18" s="2">
        <v>17</v>
      </c>
      <c r="B18" s="2" t="s">
        <v>330</v>
      </c>
    </row>
    <row r="19" spans="1:2" x14ac:dyDescent="0.25">
      <c r="A19" s="2">
        <v>18</v>
      </c>
      <c r="B19" s="2" t="s">
        <v>331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12" customWidth="1"/>
  </cols>
  <sheetData>
    <row r="1" spans="1:2" ht="30" customHeight="1" x14ac:dyDescent="0.25">
      <c r="A1" s="1" t="s">
        <v>332</v>
      </c>
      <c r="B1" s="1" t="s">
        <v>333</v>
      </c>
    </row>
    <row r="2" spans="1:2" x14ac:dyDescent="0.25">
      <c r="A2" s="2">
        <v>1</v>
      </c>
      <c r="B2" s="2" t="s">
        <v>334</v>
      </c>
    </row>
    <row r="3" spans="1:2" x14ac:dyDescent="0.25">
      <c r="A3" s="2">
        <v>2</v>
      </c>
      <c r="B3" s="2" t="s">
        <v>335</v>
      </c>
    </row>
    <row r="4" spans="1:2" x14ac:dyDescent="0.25">
      <c r="A4" s="2">
        <v>3</v>
      </c>
      <c r="B4" s="2" t="s">
        <v>336</v>
      </c>
    </row>
    <row r="5" spans="1:2" x14ac:dyDescent="0.25">
      <c r="A5" s="2">
        <v>4</v>
      </c>
      <c r="B5" s="2" t="s">
        <v>337</v>
      </c>
    </row>
    <row r="6" spans="1:2" x14ac:dyDescent="0.25">
      <c r="A6" s="2">
        <v>5</v>
      </c>
      <c r="B6" s="2" t="s">
        <v>338</v>
      </c>
    </row>
    <row r="7" spans="1:2" x14ac:dyDescent="0.25">
      <c r="A7" s="2">
        <v>6</v>
      </c>
      <c r="B7" s="2" t="s">
        <v>339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0" customWidth="1"/>
  </cols>
  <sheetData>
    <row r="1" spans="1:2" ht="30" customHeight="1" x14ac:dyDescent="0.25">
      <c r="A1" s="1" t="s">
        <v>340</v>
      </c>
      <c r="B1" s="1" t="s">
        <v>341</v>
      </c>
    </row>
    <row r="2" spans="1:2" x14ac:dyDescent="0.25">
      <c r="A2" s="2">
        <v>1</v>
      </c>
      <c r="B2" s="2" t="s">
        <v>342</v>
      </c>
    </row>
    <row r="3" spans="1:2" x14ac:dyDescent="0.25">
      <c r="A3" s="2">
        <v>2</v>
      </c>
      <c r="B3" s="2" t="s">
        <v>343</v>
      </c>
    </row>
    <row r="4" spans="1:2" x14ac:dyDescent="0.25">
      <c r="A4" s="2">
        <v>3</v>
      </c>
      <c r="B4" s="2" t="s">
        <v>344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1" customWidth="1"/>
    <col min="2" max="2" width="10" customWidth="1"/>
    <col min="3" max="3" width="17" customWidth="1"/>
  </cols>
  <sheetData>
    <row r="1" spans="1:3" ht="30" customHeight="1" x14ac:dyDescent="0.25">
      <c r="A1" s="1" t="s">
        <v>345</v>
      </c>
      <c r="B1" s="1" t="s">
        <v>346</v>
      </c>
      <c r="C1" s="1" t="s">
        <v>347</v>
      </c>
    </row>
    <row r="2" spans="1:3" x14ac:dyDescent="0.25">
      <c r="A2" s="2">
        <v>1</v>
      </c>
      <c r="B2" s="2">
        <v>240</v>
      </c>
      <c r="C2" s="2" t="s">
        <v>348</v>
      </c>
    </row>
    <row r="3" spans="1:3" x14ac:dyDescent="0.25">
      <c r="A3" s="2">
        <v>2</v>
      </c>
      <c r="B3" s="2">
        <v>250</v>
      </c>
      <c r="C3" s="2" t="s">
        <v>349</v>
      </c>
    </row>
    <row r="4" spans="1:3" x14ac:dyDescent="0.25">
      <c r="A4" s="2">
        <v>3</v>
      </c>
      <c r="B4" s="2">
        <v>300</v>
      </c>
      <c r="C4" s="2" t="s">
        <v>350</v>
      </c>
    </row>
    <row r="5" spans="1:3" x14ac:dyDescent="0.25">
      <c r="A5" s="2">
        <v>4</v>
      </c>
      <c r="B5" s="2">
        <v>340</v>
      </c>
      <c r="C5" s="2" t="s">
        <v>351</v>
      </c>
    </row>
    <row r="6" spans="1:3" x14ac:dyDescent="0.25">
      <c r="A6" s="2">
        <v>5</v>
      </c>
      <c r="B6" s="2">
        <v>500</v>
      </c>
      <c r="C6" s="2" t="s">
        <v>352</v>
      </c>
    </row>
    <row r="7" spans="1:3" x14ac:dyDescent="0.25">
      <c r="A7" s="2">
        <v>6</v>
      </c>
      <c r="B7" s="2">
        <v>1000</v>
      </c>
      <c r="C7" s="2" t="s">
        <v>353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1" customWidth="1"/>
    <col min="3" max="3" width="10" customWidth="1"/>
    <col min="4" max="4" width="15" customWidth="1"/>
    <col min="5" max="5" width="24" customWidth="1"/>
    <col min="6" max="6" width="10" customWidth="1"/>
    <col min="7" max="8" width="24" customWidth="1"/>
    <col min="9" max="9" width="48" customWidth="1"/>
    <col min="10" max="10" width="12" customWidth="1"/>
    <col min="11" max="12" width="22" customWidth="1"/>
    <col min="13" max="13" width="19" customWidth="1"/>
    <col min="14" max="14" width="48" customWidth="1"/>
  </cols>
  <sheetData>
    <row r="1" spans="1:14" ht="30" customHeight="1" x14ac:dyDescent="0.25">
      <c r="A1" s="3" t="s">
        <v>0</v>
      </c>
      <c r="B1" s="3" t="s">
        <v>2</v>
      </c>
      <c r="C1" s="3" t="s">
        <v>294</v>
      </c>
      <c r="D1" s="3" t="s">
        <v>354</v>
      </c>
      <c r="E1" s="3" t="s">
        <v>355</v>
      </c>
      <c r="F1" s="3" t="s">
        <v>356</v>
      </c>
      <c r="G1" s="3" t="s">
        <v>357</v>
      </c>
      <c r="H1" s="3" t="s">
        <v>358</v>
      </c>
      <c r="I1" s="3" t="s">
        <v>359</v>
      </c>
      <c r="J1" s="3" t="s">
        <v>360</v>
      </c>
      <c r="K1" s="3" t="s">
        <v>361</v>
      </c>
      <c r="L1" s="3" t="s">
        <v>362</v>
      </c>
      <c r="M1" s="3" t="s">
        <v>363</v>
      </c>
      <c r="N1" s="3" t="s">
        <v>364</v>
      </c>
    </row>
    <row r="2" spans="1:14" x14ac:dyDescent="0.25">
      <c r="A2" s="2">
        <v>1</v>
      </c>
      <c r="B2" s="2">
        <v>1</v>
      </c>
      <c r="C2" s="2">
        <v>20250101</v>
      </c>
      <c r="D2" s="2">
        <v>5</v>
      </c>
      <c r="E2" s="2">
        <v>4</v>
      </c>
      <c r="F2" s="2" t="b">
        <f>TRUE()</f>
        <v>1</v>
      </c>
      <c r="G2" s="4">
        <v>2500</v>
      </c>
      <c r="H2" s="4">
        <v>3500</v>
      </c>
      <c r="I2" s="2" t="s">
        <v>365</v>
      </c>
      <c r="J2" s="2" t="b">
        <f>TRUE()</f>
        <v>1</v>
      </c>
      <c r="K2" s="2">
        <v>15</v>
      </c>
      <c r="L2" s="2">
        <v>30</v>
      </c>
      <c r="M2" s="2" t="s">
        <v>366</v>
      </c>
      <c r="N2" s="2" t="s">
        <v>367</v>
      </c>
    </row>
    <row r="3" spans="1:14" x14ac:dyDescent="0.25">
      <c r="A3" s="2">
        <v>2</v>
      </c>
      <c r="B3" s="2">
        <v>2</v>
      </c>
      <c r="C3" s="2">
        <v>20250101</v>
      </c>
      <c r="D3" s="2">
        <v>5</v>
      </c>
      <c r="E3" s="2">
        <v>4</v>
      </c>
      <c r="F3" s="2" t="b">
        <f>TRUE()</f>
        <v>1</v>
      </c>
      <c r="G3" s="4">
        <v>2500</v>
      </c>
      <c r="H3" s="4">
        <v>3000</v>
      </c>
      <c r="I3" s="2" t="s">
        <v>368</v>
      </c>
      <c r="J3" s="2" t="b">
        <f>TRUE()</f>
        <v>1</v>
      </c>
      <c r="K3" s="2"/>
      <c r="L3" s="2"/>
      <c r="M3" s="2"/>
      <c r="N3" s="2" t="s">
        <v>369</v>
      </c>
    </row>
    <row r="4" spans="1:14" x14ac:dyDescent="0.25">
      <c r="A4" s="2">
        <v>3</v>
      </c>
      <c r="B4" s="2">
        <v>3</v>
      </c>
      <c r="C4" s="2">
        <v>20250101</v>
      </c>
      <c r="D4" s="2">
        <v>5</v>
      </c>
      <c r="E4" s="2">
        <v>4</v>
      </c>
      <c r="F4" s="2" t="b">
        <f>TRUE()</f>
        <v>1</v>
      </c>
      <c r="G4" s="4">
        <v>2500</v>
      </c>
      <c r="H4" s="4">
        <v>4000</v>
      </c>
      <c r="I4" s="2" t="s">
        <v>370</v>
      </c>
      <c r="J4" s="2" t="b">
        <f>TRUE()</f>
        <v>1</v>
      </c>
      <c r="K4" s="2">
        <v>20</v>
      </c>
      <c r="L4" s="2">
        <v>35</v>
      </c>
      <c r="M4" s="2" t="s">
        <v>366</v>
      </c>
      <c r="N4" s="2" t="s">
        <v>371</v>
      </c>
    </row>
    <row r="5" spans="1:14" x14ac:dyDescent="0.25">
      <c r="A5" s="2">
        <v>4</v>
      </c>
      <c r="B5" s="2">
        <v>1</v>
      </c>
      <c r="C5" s="2">
        <v>20250101</v>
      </c>
      <c r="D5" s="2">
        <v>4</v>
      </c>
      <c r="E5" s="2">
        <v>4</v>
      </c>
      <c r="F5" s="2" t="b">
        <f>TRUE()</f>
        <v>1</v>
      </c>
      <c r="G5" s="4">
        <v>2500</v>
      </c>
      <c r="H5" s="4">
        <v>3000</v>
      </c>
      <c r="I5" s="2" t="s">
        <v>372</v>
      </c>
      <c r="J5" s="2" t="b">
        <f>TRUE()</f>
        <v>1</v>
      </c>
      <c r="K5" s="2"/>
      <c r="L5" s="2"/>
      <c r="M5" s="2"/>
      <c r="N5" s="2" t="s">
        <v>373</v>
      </c>
    </row>
    <row r="6" spans="1:14" x14ac:dyDescent="0.25">
      <c r="A6" s="2">
        <v>5</v>
      </c>
      <c r="B6" s="2">
        <v>4</v>
      </c>
      <c r="C6" s="2">
        <v>20250101</v>
      </c>
      <c r="D6" s="2">
        <v>4</v>
      </c>
      <c r="E6" s="2">
        <v>5</v>
      </c>
      <c r="F6" s="2" t="b">
        <f>TRUE()</f>
        <v>1</v>
      </c>
      <c r="G6" s="4">
        <v>3000</v>
      </c>
      <c r="H6" s="4">
        <v>4000</v>
      </c>
      <c r="I6" s="2" t="s">
        <v>374</v>
      </c>
      <c r="J6" s="2" t="b">
        <f>TRUE()</f>
        <v>1</v>
      </c>
      <c r="K6" s="2">
        <v>15</v>
      </c>
      <c r="L6" s="2">
        <v>25</v>
      </c>
      <c r="M6" s="2" t="s">
        <v>366</v>
      </c>
      <c r="N6" s="2" t="s">
        <v>375</v>
      </c>
    </row>
    <row r="7" spans="1:14" x14ac:dyDescent="0.25">
      <c r="A7" s="2">
        <v>6</v>
      </c>
      <c r="B7" s="2">
        <v>5</v>
      </c>
      <c r="C7" s="2">
        <v>20250101</v>
      </c>
      <c r="D7" s="2">
        <v>4</v>
      </c>
      <c r="E7" s="2">
        <v>4</v>
      </c>
      <c r="F7" s="2" t="b">
        <f>TRUE()</f>
        <v>1</v>
      </c>
      <c r="G7" s="4">
        <v>2500</v>
      </c>
      <c r="H7" s="4">
        <v>3500</v>
      </c>
      <c r="I7" s="2" t="s">
        <v>376</v>
      </c>
      <c r="J7" s="2" t="b">
        <f>TRUE()</f>
        <v>1</v>
      </c>
      <c r="K7" s="2"/>
      <c r="L7" s="2"/>
      <c r="M7" s="2"/>
      <c r="N7" s="2" t="s">
        <v>377</v>
      </c>
    </row>
    <row r="8" spans="1:14" x14ac:dyDescent="0.25">
      <c r="A8" s="2">
        <v>7</v>
      </c>
      <c r="B8" s="2">
        <v>3</v>
      </c>
      <c r="C8" s="2">
        <v>20250101</v>
      </c>
      <c r="D8" s="2">
        <v>4</v>
      </c>
      <c r="E8" s="2">
        <v>5</v>
      </c>
      <c r="F8" s="2" t="b">
        <f>TRUE()</f>
        <v>1</v>
      </c>
      <c r="G8" s="4">
        <v>2500</v>
      </c>
      <c r="H8" s="4">
        <v>3500</v>
      </c>
      <c r="I8" s="2" t="s">
        <v>372</v>
      </c>
      <c r="J8" s="2" t="b">
        <f>TRUE()</f>
        <v>1</v>
      </c>
      <c r="K8" s="2"/>
      <c r="L8" s="2"/>
      <c r="M8" s="2"/>
      <c r="N8" s="2" t="s">
        <v>378</v>
      </c>
    </row>
    <row r="9" spans="1:14" x14ac:dyDescent="0.25">
      <c r="A9" s="2">
        <v>8</v>
      </c>
      <c r="B9" s="2">
        <v>3</v>
      </c>
      <c r="C9" s="2">
        <v>20250101</v>
      </c>
      <c r="D9" s="2">
        <v>3</v>
      </c>
      <c r="E9" s="2">
        <v>3</v>
      </c>
      <c r="F9" s="2" t="b">
        <f>TRUE()</f>
        <v>1</v>
      </c>
      <c r="G9" s="2"/>
      <c r="H9" s="2"/>
      <c r="I9" s="2"/>
      <c r="J9" s="2" t="b">
        <f>TRUE()</f>
        <v>1</v>
      </c>
      <c r="K9" s="2"/>
      <c r="L9" s="2"/>
      <c r="M9" s="2"/>
      <c r="N9" s="2" t="s">
        <v>379</v>
      </c>
    </row>
    <row r="10" spans="1:14" x14ac:dyDescent="0.25">
      <c r="A10" s="2">
        <v>9</v>
      </c>
      <c r="B10" s="2">
        <v>6</v>
      </c>
      <c r="C10" s="2">
        <v>20250101</v>
      </c>
      <c r="D10" s="2">
        <v>3</v>
      </c>
      <c r="E10" s="2">
        <v>3</v>
      </c>
      <c r="F10" s="2" t="b">
        <f>TRUE()</f>
        <v>1</v>
      </c>
      <c r="G10" s="4">
        <v>2500</v>
      </c>
      <c r="H10" s="4">
        <v>3000</v>
      </c>
      <c r="I10" s="2" t="s">
        <v>380</v>
      </c>
      <c r="J10" s="2" t="b">
        <f>TRUE()</f>
        <v>1</v>
      </c>
      <c r="K10" s="2">
        <v>24000</v>
      </c>
      <c r="L10" s="2">
        <v>38000</v>
      </c>
      <c r="M10" s="2" t="s">
        <v>381</v>
      </c>
      <c r="N10" s="2" t="s">
        <v>382</v>
      </c>
    </row>
    <row r="11" spans="1:14" x14ac:dyDescent="0.25">
      <c r="A11" s="2">
        <v>10</v>
      </c>
      <c r="B11" s="2">
        <v>7</v>
      </c>
      <c r="C11" s="2">
        <v>20250101</v>
      </c>
      <c r="D11" s="2">
        <v>3</v>
      </c>
      <c r="E11" s="2">
        <v>4</v>
      </c>
      <c r="F11" s="2" t="b">
        <f>TRUE()</f>
        <v>1</v>
      </c>
      <c r="G11" s="4">
        <v>2500</v>
      </c>
      <c r="H11" s="4">
        <v>3500</v>
      </c>
      <c r="I11" s="2" t="s">
        <v>383</v>
      </c>
      <c r="J11" s="2" t="b">
        <f>TRUE()</f>
        <v>1</v>
      </c>
      <c r="K11" s="2">
        <v>15</v>
      </c>
      <c r="L11" s="2">
        <v>30</v>
      </c>
      <c r="M11" s="2" t="s">
        <v>366</v>
      </c>
      <c r="N11" s="2" t="s">
        <v>384</v>
      </c>
    </row>
    <row r="12" spans="1:14" x14ac:dyDescent="0.25">
      <c r="A12" s="2">
        <v>12</v>
      </c>
      <c r="B12" s="2">
        <v>8</v>
      </c>
      <c r="C12" s="2">
        <v>20250101</v>
      </c>
      <c r="D12" s="2">
        <v>4</v>
      </c>
      <c r="E12" s="2">
        <v>5</v>
      </c>
      <c r="F12" s="2" t="b">
        <f>TRUE()</f>
        <v>1</v>
      </c>
      <c r="G12" s="4">
        <v>2500</v>
      </c>
      <c r="H12" s="4">
        <v>3500</v>
      </c>
      <c r="I12" s="2" t="s">
        <v>383</v>
      </c>
      <c r="J12" s="2" t="b">
        <f>TRUE()</f>
        <v>1</v>
      </c>
      <c r="K12" s="2">
        <v>15</v>
      </c>
      <c r="L12" s="2">
        <v>30</v>
      </c>
      <c r="M12" s="2" t="s">
        <v>366</v>
      </c>
      <c r="N12" s="2" t="s">
        <v>385</v>
      </c>
    </row>
    <row r="13" spans="1:14" x14ac:dyDescent="0.25">
      <c r="A13" s="2">
        <v>13</v>
      </c>
      <c r="B13" s="2">
        <v>1</v>
      </c>
      <c r="C13" s="2">
        <v>20250101</v>
      </c>
      <c r="D13" s="2">
        <v>3</v>
      </c>
      <c r="E13" s="2">
        <v>2</v>
      </c>
      <c r="F13" s="2" t="b">
        <f>TRUE()</f>
        <v>1</v>
      </c>
      <c r="G13" s="4">
        <v>2500</v>
      </c>
      <c r="H13" s="4">
        <v>2500</v>
      </c>
      <c r="I13" s="2" t="s">
        <v>374</v>
      </c>
      <c r="J13" s="2" t="b">
        <f>FALSE()</f>
        <v>0</v>
      </c>
      <c r="K13" s="2"/>
      <c r="L13" s="2"/>
      <c r="M13" s="2"/>
      <c r="N13" s="2"/>
    </row>
    <row r="14" spans="1:14" x14ac:dyDescent="0.25">
      <c r="A14" s="2">
        <v>14</v>
      </c>
      <c r="B14" s="2">
        <v>1</v>
      </c>
      <c r="C14" s="2">
        <v>20250101</v>
      </c>
      <c r="D14" s="2">
        <v>2</v>
      </c>
      <c r="E14" s="2">
        <v>2</v>
      </c>
      <c r="F14" s="2" t="b">
        <f>TRUE()</f>
        <v>1</v>
      </c>
      <c r="G14" s="4">
        <v>3000</v>
      </c>
      <c r="H14" s="4">
        <v>3000</v>
      </c>
      <c r="I14" s="2" t="s">
        <v>374</v>
      </c>
      <c r="J14" s="2" t="b">
        <f>TRUE()</f>
        <v>1</v>
      </c>
      <c r="K14" s="2">
        <v>5</v>
      </c>
      <c r="L14" s="2">
        <v>8</v>
      </c>
      <c r="M14" s="2" t="s">
        <v>366</v>
      </c>
      <c r="N14" s="2" t="s">
        <v>386</v>
      </c>
    </row>
    <row r="15" spans="1:14" x14ac:dyDescent="0.25">
      <c r="A15" s="2">
        <v>15</v>
      </c>
      <c r="B15" s="2">
        <v>3</v>
      </c>
      <c r="C15" s="2">
        <v>20250101</v>
      </c>
      <c r="D15" s="2">
        <v>3</v>
      </c>
      <c r="E15" s="2">
        <v>4</v>
      </c>
      <c r="F15" s="2" t="b">
        <f>TRUE()</f>
        <v>1</v>
      </c>
      <c r="G15" s="4">
        <v>2800</v>
      </c>
      <c r="H15" s="4">
        <v>2800</v>
      </c>
      <c r="I15" s="2" t="s">
        <v>374</v>
      </c>
      <c r="J15" s="2" t="b">
        <f>TRUE()</f>
        <v>1</v>
      </c>
      <c r="K15" s="2">
        <v>20</v>
      </c>
      <c r="L15" s="2">
        <v>35</v>
      </c>
      <c r="M15" s="2" t="s">
        <v>366</v>
      </c>
      <c r="N15" s="2" t="s">
        <v>387</v>
      </c>
    </row>
    <row r="16" spans="1:14" x14ac:dyDescent="0.25">
      <c r="A16" s="2">
        <v>16</v>
      </c>
      <c r="B16" s="2">
        <v>9</v>
      </c>
      <c r="C16" s="2">
        <v>20250101</v>
      </c>
      <c r="D16" s="2">
        <v>3</v>
      </c>
      <c r="E16" s="2">
        <v>3</v>
      </c>
      <c r="F16" s="2" t="b">
        <f>TRUE()</f>
        <v>1</v>
      </c>
      <c r="G16" s="4">
        <v>2400</v>
      </c>
      <c r="H16" s="4">
        <v>2400</v>
      </c>
      <c r="I16" s="2" t="s">
        <v>374</v>
      </c>
      <c r="J16" s="2" t="b">
        <f>TRUE()</f>
        <v>1</v>
      </c>
      <c r="K16" s="2"/>
      <c r="L16" s="2"/>
      <c r="M16" s="2"/>
      <c r="N16" s="2" t="s">
        <v>388</v>
      </c>
    </row>
    <row r="17" spans="1:14" x14ac:dyDescent="0.25">
      <c r="A17" s="2">
        <v>17</v>
      </c>
      <c r="B17" s="2">
        <v>1</v>
      </c>
      <c r="C17" s="2">
        <v>20250101</v>
      </c>
      <c r="D17" s="2">
        <v>4</v>
      </c>
      <c r="E17" s="2">
        <v>4</v>
      </c>
      <c r="F17" s="2" t="b">
        <f>TRUE()</f>
        <v>1</v>
      </c>
      <c r="G17" s="4">
        <v>2500</v>
      </c>
      <c r="H17" s="4">
        <v>2500</v>
      </c>
      <c r="I17" s="2" t="s">
        <v>389</v>
      </c>
      <c r="J17" s="2" t="b">
        <f>TRUE()</f>
        <v>1</v>
      </c>
      <c r="K17" s="2"/>
      <c r="L17" s="2"/>
      <c r="M17" s="2"/>
      <c r="N17" s="2" t="s">
        <v>390</v>
      </c>
    </row>
    <row r="18" spans="1:14" x14ac:dyDescent="0.25">
      <c r="A18" s="2">
        <v>18</v>
      </c>
      <c r="B18" s="2">
        <v>3</v>
      </c>
      <c r="C18" s="2">
        <v>20250101</v>
      </c>
      <c r="D18" s="2">
        <v>4</v>
      </c>
      <c r="E18" s="2">
        <v>4</v>
      </c>
      <c r="F18" s="2" t="b">
        <f>TRUE()</f>
        <v>1</v>
      </c>
      <c r="G18" s="2"/>
      <c r="H18" s="2"/>
      <c r="I18" s="2" t="s">
        <v>391</v>
      </c>
      <c r="J18" s="2" t="b">
        <f>TRUE()</f>
        <v>1</v>
      </c>
      <c r="K18" s="2">
        <v>18440</v>
      </c>
      <c r="L18" s="2">
        <v>23750</v>
      </c>
      <c r="M18" s="2" t="s">
        <v>381</v>
      </c>
      <c r="N18" s="2" t="s">
        <v>392</v>
      </c>
    </row>
    <row r="19" spans="1:14" x14ac:dyDescent="0.25">
      <c r="A19" s="2">
        <v>19</v>
      </c>
      <c r="B19" s="2">
        <v>10</v>
      </c>
      <c r="C19" s="2">
        <v>20250101</v>
      </c>
      <c r="D19" s="2">
        <v>4</v>
      </c>
      <c r="E19" s="2">
        <v>4</v>
      </c>
      <c r="F19" s="2" t="b">
        <f>TRUE()</f>
        <v>1</v>
      </c>
      <c r="G19" s="2"/>
      <c r="H19" s="2"/>
      <c r="I19" s="2" t="s">
        <v>393</v>
      </c>
      <c r="J19" s="2" t="b">
        <f>TRUE()</f>
        <v>1</v>
      </c>
      <c r="K19" s="2"/>
      <c r="L19" s="2"/>
      <c r="M19" s="2"/>
      <c r="N19" s="2" t="s">
        <v>394</v>
      </c>
    </row>
    <row r="20" spans="1:14" x14ac:dyDescent="0.25">
      <c r="A20" s="2">
        <v>20</v>
      </c>
      <c r="B20" s="2">
        <v>10</v>
      </c>
      <c r="C20" s="2">
        <v>20250101</v>
      </c>
      <c r="D20" s="2">
        <v>3</v>
      </c>
      <c r="E20" s="2">
        <v>3</v>
      </c>
      <c r="F20" s="2" t="b">
        <f>TRUE()</f>
        <v>1</v>
      </c>
      <c r="G20" s="2"/>
      <c r="H20" s="2"/>
      <c r="I20" s="2" t="s">
        <v>395</v>
      </c>
      <c r="J20" s="2" t="b">
        <f>FALSE()</f>
        <v>0</v>
      </c>
      <c r="K20" s="2"/>
      <c r="L20" s="2"/>
      <c r="M20" s="2"/>
      <c r="N20" s="2"/>
    </row>
    <row r="21" spans="1:14" x14ac:dyDescent="0.25">
      <c r="A21" s="2">
        <v>21</v>
      </c>
      <c r="B21" s="2">
        <v>2</v>
      </c>
      <c r="C21" s="2">
        <v>20250101</v>
      </c>
      <c r="D21" s="2">
        <v>3</v>
      </c>
      <c r="E21" s="2">
        <v>3</v>
      </c>
      <c r="F21" s="2" t="b">
        <f>TRUE()</f>
        <v>1</v>
      </c>
      <c r="G21" s="4">
        <v>3400</v>
      </c>
      <c r="H21" s="4">
        <v>3400</v>
      </c>
      <c r="I21" s="2" t="s">
        <v>374</v>
      </c>
      <c r="J21" s="2" t="b">
        <f>TRUE()</f>
        <v>1</v>
      </c>
      <c r="K21" s="2">
        <v>23750</v>
      </c>
      <c r="L21" s="2">
        <v>23750</v>
      </c>
      <c r="M21" s="2" t="s">
        <v>381</v>
      </c>
      <c r="N21" s="2" t="s">
        <v>392</v>
      </c>
    </row>
    <row r="22" spans="1:14" x14ac:dyDescent="0.25">
      <c r="A22" s="2">
        <v>22</v>
      </c>
      <c r="B22" s="2">
        <v>2</v>
      </c>
      <c r="C22" s="2">
        <v>20250101</v>
      </c>
      <c r="D22" s="2">
        <v>3</v>
      </c>
      <c r="E22" s="2">
        <v>3</v>
      </c>
      <c r="F22" s="2" t="b">
        <f>TRUE()</f>
        <v>1</v>
      </c>
      <c r="G22" s="2"/>
      <c r="H22" s="2"/>
      <c r="I22" s="2" t="s">
        <v>396</v>
      </c>
      <c r="J22" s="2" t="b">
        <f>TRUE()</f>
        <v>1</v>
      </c>
      <c r="K22" s="2"/>
      <c r="L22" s="2"/>
      <c r="M22" s="2"/>
      <c r="N22" s="2" t="s">
        <v>397</v>
      </c>
    </row>
    <row r="23" spans="1:14" x14ac:dyDescent="0.25">
      <c r="A23" s="2">
        <v>24</v>
      </c>
      <c r="B23" s="2">
        <v>11</v>
      </c>
      <c r="C23" s="2">
        <v>20250101</v>
      </c>
      <c r="D23" s="2">
        <v>4</v>
      </c>
      <c r="E23" s="2">
        <v>4</v>
      </c>
      <c r="F23" s="2" t="b">
        <f>TRUE()</f>
        <v>1</v>
      </c>
      <c r="G23" s="4">
        <v>2400</v>
      </c>
      <c r="H23" s="4">
        <v>3500</v>
      </c>
      <c r="I23" s="2" t="s">
        <v>398</v>
      </c>
      <c r="J23" s="2" t="b">
        <f>TRUE()</f>
        <v>1</v>
      </c>
      <c r="K23" s="2">
        <v>10</v>
      </c>
      <c r="L23" s="2">
        <v>25</v>
      </c>
      <c r="M23" s="2" t="s">
        <v>366</v>
      </c>
      <c r="N23" s="2" t="s">
        <v>399</v>
      </c>
    </row>
    <row r="24" spans="1:14" x14ac:dyDescent="0.25">
      <c r="A24" s="2">
        <v>25</v>
      </c>
      <c r="B24" s="2">
        <v>1</v>
      </c>
      <c r="C24" s="2">
        <v>20250101</v>
      </c>
      <c r="D24" s="2">
        <v>3</v>
      </c>
      <c r="E24" s="2">
        <v>3</v>
      </c>
      <c r="F24" s="2" t="b">
        <f>TRUE()</f>
        <v>1</v>
      </c>
      <c r="G24" s="4">
        <v>2500</v>
      </c>
      <c r="H24" s="4">
        <v>3500</v>
      </c>
      <c r="I24" s="2" t="s">
        <v>374</v>
      </c>
      <c r="J24" s="2" t="b">
        <f>TRUE()</f>
        <v>1</v>
      </c>
      <c r="K24" s="2">
        <v>10</v>
      </c>
      <c r="L24" s="2">
        <v>30</v>
      </c>
      <c r="M24" s="2" t="s">
        <v>366</v>
      </c>
      <c r="N24" s="2" t="s">
        <v>400</v>
      </c>
    </row>
    <row r="25" spans="1:14" x14ac:dyDescent="0.25">
      <c r="A25" s="2">
        <v>26</v>
      </c>
      <c r="B25" s="2">
        <v>11</v>
      </c>
      <c r="C25" s="2">
        <v>20250101</v>
      </c>
      <c r="D25" s="2">
        <v>3</v>
      </c>
      <c r="E25" s="2">
        <v>4</v>
      </c>
      <c r="F25" s="2" t="b">
        <f>TRUE()</f>
        <v>1</v>
      </c>
      <c r="G25" s="2"/>
      <c r="H25" s="2"/>
      <c r="I25" s="2" t="s">
        <v>401</v>
      </c>
      <c r="J25" s="2" t="b">
        <f>FALSE()</f>
        <v>0</v>
      </c>
      <c r="K25" s="2"/>
      <c r="L25" s="2"/>
      <c r="M25" s="2"/>
      <c r="N25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7"/>
  <sheetViews>
    <sheetView zoomScaleNormal="100" workbookViewId="0">
      <pane ySplit="1" topLeftCell="A2" activePane="bottomLeft" state="frozen"/>
      <selection pane="bottomLeft" activeCell="H32" sqref="H32"/>
    </sheetView>
  </sheetViews>
  <sheetFormatPr defaultColWidth="8.7109375" defaultRowHeight="15" x14ac:dyDescent="0.25"/>
  <cols>
    <col min="1" max="1" width="12" customWidth="1"/>
    <col min="2" max="2" width="15" customWidth="1"/>
    <col min="3" max="3" width="10" customWidth="1"/>
    <col min="4" max="4" width="12" customWidth="1"/>
  </cols>
  <sheetData>
    <row r="1" spans="1:4" ht="30" customHeight="1" x14ac:dyDescent="0.25">
      <c r="A1" s="3" t="s">
        <v>0</v>
      </c>
      <c r="B1" s="3" t="s">
        <v>306</v>
      </c>
      <c r="C1" s="3" t="s">
        <v>294</v>
      </c>
      <c r="D1" s="3" t="s">
        <v>402</v>
      </c>
    </row>
    <row r="2" spans="1:4" x14ac:dyDescent="0.25">
      <c r="A2" s="2">
        <v>1</v>
      </c>
      <c r="B2" s="2">
        <v>1</v>
      </c>
      <c r="C2" s="2">
        <v>20250101</v>
      </c>
      <c r="D2" s="5">
        <v>8824</v>
      </c>
    </row>
    <row r="3" spans="1:4" x14ac:dyDescent="0.25">
      <c r="A3" s="2">
        <v>1</v>
      </c>
      <c r="B3" s="2">
        <v>2</v>
      </c>
      <c r="C3" s="2">
        <v>20250101</v>
      </c>
      <c r="D3" s="5">
        <v>25000</v>
      </c>
    </row>
    <row r="4" spans="1:4" x14ac:dyDescent="0.25">
      <c r="A4" s="2">
        <v>1</v>
      </c>
      <c r="B4" s="2">
        <v>3</v>
      </c>
      <c r="C4" s="2">
        <v>20250101</v>
      </c>
      <c r="D4" s="5">
        <v>1699</v>
      </c>
    </row>
    <row r="5" spans="1:4" x14ac:dyDescent="0.25">
      <c r="A5" s="2">
        <v>2</v>
      </c>
      <c r="B5" s="2">
        <v>1</v>
      </c>
      <c r="C5" s="2">
        <v>20250101</v>
      </c>
      <c r="D5" s="5">
        <v>17100</v>
      </c>
    </row>
    <row r="6" spans="1:4" x14ac:dyDescent="0.25">
      <c r="A6" s="2">
        <v>2</v>
      </c>
      <c r="B6" s="2">
        <v>2</v>
      </c>
      <c r="C6" s="2">
        <v>20250101</v>
      </c>
      <c r="D6" s="5">
        <v>45</v>
      </c>
    </row>
    <row r="7" spans="1:4" x14ac:dyDescent="0.25">
      <c r="A7" s="2">
        <v>2</v>
      </c>
      <c r="B7" s="2">
        <v>3</v>
      </c>
      <c r="C7" s="2">
        <v>20250101</v>
      </c>
      <c r="D7" s="5">
        <v>211</v>
      </c>
    </row>
    <row r="8" spans="1:4" x14ac:dyDescent="0.25">
      <c r="A8" s="2">
        <v>3</v>
      </c>
      <c r="B8" s="2">
        <v>1</v>
      </c>
      <c r="C8" s="2">
        <v>20250101</v>
      </c>
      <c r="D8" s="5">
        <v>9281</v>
      </c>
    </row>
    <row r="9" spans="1:4" x14ac:dyDescent="0.25">
      <c r="A9" s="2">
        <v>3</v>
      </c>
      <c r="B9" s="2">
        <v>2</v>
      </c>
      <c r="C9" s="2">
        <v>20250101</v>
      </c>
      <c r="D9" s="5">
        <v>21000</v>
      </c>
    </row>
    <row r="10" spans="1:4" x14ac:dyDescent="0.25">
      <c r="A10" s="2">
        <v>3</v>
      </c>
      <c r="B10" s="2">
        <v>3</v>
      </c>
      <c r="C10" s="2">
        <v>20250101</v>
      </c>
      <c r="D10" s="5">
        <v>8963</v>
      </c>
    </row>
    <row r="11" spans="1:4" x14ac:dyDescent="0.25">
      <c r="A11" s="2">
        <v>4</v>
      </c>
      <c r="B11" s="2">
        <v>1</v>
      </c>
      <c r="C11" s="2">
        <v>20250101</v>
      </c>
      <c r="D11" s="5">
        <v>4889</v>
      </c>
    </row>
    <row r="12" spans="1:4" x14ac:dyDescent="0.25">
      <c r="A12" s="2">
        <v>4</v>
      </c>
      <c r="B12" s="2">
        <v>2</v>
      </c>
      <c r="C12" s="2">
        <v>20250101</v>
      </c>
      <c r="D12" s="5">
        <v>5300</v>
      </c>
    </row>
    <row r="13" spans="1:4" x14ac:dyDescent="0.25">
      <c r="A13" s="2">
        <v>5</v>
      </c>
      <c r="B13" s="2">
        <v>1</v>
      </c>
      <c r="C13" s="2">
        <v>20250101</v>
      </c>
      <c r="D13" s="5">
        <v>5600</v>
      </c>
    </row>
    <row r="14" spans="1:4" x14ac:dyDescent="0.25">
      <c r="A14" s="2">
        <v>5</v>
      </c>
      <c r="B14" s="2">
        <v>2</v>
      </c>
      <c r="C14" s="2">
        <v>20250101</v>
      </c>
      <c r="D14" s="5">
        <v>4300</v>
      </c>
    </row>
    <row r="15" spans="1:4" x14ac:dyDescent="0.25">
      <c r="A15" s="2">
        <v>5</v>
      </c>
      <c r="B15" s="2">
        <v>3</v>
      </c>
      <c r="C15" s="2">
        <v>20250101</v>
      </c>
      <c r="D15" s="5">
        <v>1500</v>
      </c>
    </row>
    <row r="16" spans="1:4" x14ac:dyDescent="0.25">
      <c r="A16" s="2">
        <v>6</v>
      </c>
      <c r="B16" s="2">
        <v>1</v>
      </c>
      <c r="C16" s="2">
        <v>20250101</v>
      </c>
      <c r="D16" s="5">
        <v>8200</v>
      </c>
    </row>
    <row r="17" spans="1:4" x14ac:dyDescent="0.25">
      <c r="A17" s="2">
        <v>6</v>
      </c>
      <c r="B17" s="2">
        <v>2</v>
      </c>
      <c r="C17" s="2">
        <v>20250101</v>
      </c>
      <c r="D17" s="5">
        <v>8700</v>
      </c>
    </row>
    <row r="18" spans="1:4" x14ac:dyDescent="0.25">
      <c r="A18" s="2">
        <v>6</v>
      </c>
      <c r="B18" s="2">
        <v>3</v>
      </c>
      <c r="C18" s="2">
        <v>20250101</v>
      </c>
      <c r="D18" s="5">
        <v>200</v>
      </c>
    </row>
    <row r="19" spans="1:4" x14ac:dyDescent="0.25">
      <c r="A19" s="2">
        <v>7</v>
      </c>
      <c r="B19" s="2">
        <v>1</v>
      </c>
      <c r="C19" s="2">
        <v>20250101</v>
      </c>
      <c r="D19" s="5">
        <v>2171</v>
      </c>
    </row>
    <row r="20" spans="1:4" x14ac:dyDescent="0.25">
      <c r="A20" s="2">
        <v>7</v>
      </c>
      <c r="B20" s="2">
        <v>2</v>
      </c>
      <c r="C20" s="2">
        <v>20250101</v>
      </c>
      <c r="D20" s="5">
        <v>4900</v>
      </c>
    </row>
    <row r="21" spans="1:4" x14ac:dyDescent="0.25">
      <c r="A21" s="2">
        <v>7</v>
      </c>
      <c r="B21" s="2">
        <v>4</v>
      </c>
      <c r="C21" s="2">
        <v>20250101</v>
      </c>
      <c r="D21" s="5">
        <v>13</v>
      </c>
    </row>
    <row r="22" spans="1:4" x14ac:dyDescent="0.25">
      <c r="A22" s="2">
        <v>8</v>
      </c>
      <c r="B22" s="2">
        <v>1</v>
      </c>
      <c r="C22" s="2">
        <v>20250101</v>
      </c>
      <c r="D22" s="5">
        <v>869</v>
      </c>
    </row>
    <row r="23" spans="1:4" x14ac:dyDescent="0.25">
      <c r="A23" s="2">
        <v>8</v>
      </c>
      <c r="B23" s="2">
        <v>2</v>
      </c>
      <c r="C23" s="2">
        <v>20250101</v>
      </c>
      <c r="D23" s="5">
        <v>16000</v>
      </c>
    </row>
    <row r="24" spans="1:4" x14ac:dyDescent="0.25">
      <c r="A24" s="2">
        <v>9</v>
      </c>
      <c r="B24" s="2">
        <v>1</v>
      </c>
      <c r="C24" s="2">
        <v>20250101</v>
      </c>
      <c r="D24" s="5">
        <v>84</v>
      </c>
    </row>
    <row r="25" spans="1:4" x14ac:dyDescent="0.25">
      <c r="A25" s="2">
        <v>9</v>
      </c>
      <c r="B25" s="2">
        <v>2</v>
      </c>
      <c r="C25" s="2">
        <v>20250101</v>
      </c>
      <c r="D25" s="5">
        <v>982</v>
      </c>
    </row>
    <row r="26" spans="1:4" x14ac:dyDescent="0.25">
      <c r="A26" s="2">
        <v>10</v>
      </c>
      <c r="B26" s="2">
        <v>1</v>
      </c>
      <c r="C26" s="2">
        <v>20250101</v>
      </c>
      <c r="D26" s="5">
        <v>124</v>
      </c>
    </row>
    <row r="27" spans="1:4" x14ac:dyDescent="0.25">
      <c r="A27" s="2">
        <v>10</v>
      </c>
      <c r="B27" s="2">
        <v>2</v>
      </c>
      <c r="C27" s="2">
        <v>20250101</v>
      </c>
      <c r="D27" s="5">
        <v>2100</v>
      </c>
    </row>
    <row r="28" spans="1:4" x14ac:dyDescent="0.25">
      <c r="A28" s="2">
        <v>12</v>
      </c>
      <c r="B28" s="2">
        <v>1</v>
      </c>
      <c r="C28" s="2">
        <v>20250101</v>
      </c>
      <c r="D28" s="5">
        <v>10300</v>
      </c>
    </row>
    <row r="29" spans="1:4" x14ac:dyDescent="0.25">
      <c r="A29" s="2">
        <v>12</v>
      </c>
      <c r="B29" s="2">
        <v>2</v>
      </c>
      <c r="C29" s="2">
        <v>20250101</v>
      </c>
      <c r="D29" s="5">
        <v>13000</v>
      </c>
    </row>
    <row r="30" spans="1:4" x14ac:dyDescent="0.25">
      <c r="A30" s="2">
        <v>12</v>
      </c>
      <c r="B30" s="2">
        <v>4</v>
      </c>
      <c r="C30" s="2">
        <v>20250101</v>
      </c>
      <c r="D30" s="5">
        <v>68</v>
      </c>
    </row>
    <row r="31" spans="1:4" x14ac:dyDescent="0.25">
      <c r="A31" s="2">
        <v>13</v>
      </c>
      <c r="B31" s="2">
        <v>1</v>
      </c>
      <c r="C31" s="2">
        <v>20250101</v>
      </c>
      <c r="D31" s="5">
        <v>11300</v>
      </c>
    </row>
    <row r="32" spans="1:4" x14ac:dyDescent="0.25">
      <c r="A32" s="2">
        <v>13</v>
      </c>
      <c r="B32" s="2">
        <v>2</v>
      </c>
      <c r="C32" s="2">
        <v>20250101</v>
      </c>
      <c r="D32" s="5">
        <v>6800</v>
      </c>
    </row>
    <row r="33" spans="1:4" x14ac:dyDescent="0.25">
      <c r="A33" s="2">
        <v>13</v>
      </c>
      <c r="B33" s="2">
        <v>3</v>
      </c>
      <c r="C33" s="2">
        <v>20250101</v>
      </c>
      <c r="D33" s="5">
        <v>2310</v>
      </c>
    </row>
    <row r="34" spans="1:4" x14ac:dyDescent="0.25">
      <c r="A34" s="2">
        <v>14</v>
      </c>
      <c r="B34" s="2">
        <v>1</v>
      </c>
      <c r="C34" s="2">
        <v>20250101</v>
      </c>
      <c r="D34" s="5">
        <v>685</v>
      </c>
    </row>
    <row r="35" spans="1:4" x14ac:dyDescent="0.25">
      <c r="A35" s="2">
        <v>14</v>
      </c>
      <c r="B35" s="2">
        <v>2</v>
      </c>
      <c r="C35" s="2">
        <v>20250101</v>
      </c>
      <c r="D35" s="5">
        <v>1200</v>
      </c>
    </row>
    <row r="36" spans="1:4" x14ac:dyDescent="0.25">
      <c r="A36" s="2">
        <v>15</v>
      </c>
      <c r="B36" s="2">
        <v>1</v>
      </c>
      <c r="C36" s="2">
        <v>20250101</v>
      </c>
      <c r="D36" s="5">
        <v>2</v>
      </c>
    </row>
    <row r="37" spans="1:4" x14ac:dyDescent="0.25">
      <c r="A37" s="2">
        <v>15</v>
      </c>
      <c r="B37" s="2">
        <v>2</v>
      </c>
      <c r="C37" s="2">
        <v>20250101</v>
      </c>
      <c r="D37" s="5">
        <v>990</v>
      </c>
    </row>
    <row r="38" spans="1:4" x14ac:dyDescent="0.25">
      <c r="A38" s="2">
        <v>16</v>
      </c>
      <c r="B38" s="2">
        <v>1</v>
      </c>
      <c r="C38" s="2">
        <v>20250101</v>
      </c>
      <c r="D38" s="5">
        <v>1342</v>
      </c>
    </row>
    <row r="39" spans="1:4" x14ac:dyDescent="0.25">
      <c r="A39" s="2">
        <v>16</v>
      </c>
      <c r="B39" s="2">
        <v>2</v>
      </c>
      <c r="C39" s="2">
        <v>20250101</v>
      </c>
      <c r="D39" s="5">
        <v>10011</v>
      </c>
    </row>
    <row r="40" spans="1:4" x14ac:dyDescent="0.25">
      <c r="A40" s="2">
        <v>17</v>
      </c>
      <c r="B40" s="2">
        <v>1</v>
      </c>
      <c r="C40" s="2">
        <v>20250101</v>
      </c>
      <c r="D40" s="5">
        <v>4084</v>
      </c>
    </row>
    <row r="41" spans="1:4" x14ac:dyDescent="0.25">
      <c r="A41" s="2">
        <v>17</v>
      </c>
      <c r="B41" s="2">
        <v>2</v>
      </c>
      <c r="C41" s="2">
        <v>20250101</v>
      </c>
      <c r="D41" s="5">
        <v>8400</v>
      </c>
    </row>
    <row r="42" spans="1:4" x14ac:dyDescent="0.25">
      <c r="A42" s="2">
        <v>18</v>
      </c>
      <c r="B42" s="2">
        <v>1</v>
      </c>
      <c r="C42" s="2">
        <v>20250101</v>
      </c>
      <c r="D42" s="5">
        <v>2100</v>
      </c>
    </row>
    <row r="43" spans="1:4" x14ac:dyDescent="0.25">
      <c r="A43" s="2">
        <v>18</v>
      </c>
      <c r="B43" s="2">
        <v>2</v>
      </c>
      <c r="C43" s="2">
        <v>20250101</v>
      </c>
      <c r="D43" s="5">
        <v>20400</v>
      </c>
    </row>
    <row r="44" spans="1:4" x14ac:dyDescent="0.25">
      <c r="A44" s="2">
        <v>19</v>
      </c>
      <c r="B44" s="2">
        <v>1</v>
      </c>
      <c r="C44" s="2">
        <v>20250101</v>
      </c>
      <c r="D44" s="5">
        <v>502</v>
      </c>
    </row>
    <row r="45" spans="1:4" x14ac:dyDescent="0.25">
      <c r="A45" s="2">
        <v>19</v>
      </c>
      <c r="B45" s="2">
        <v>2</v>
      </c>
      <c r="C45" s="2">
        <v>20250101</v>
      </c>
      <c r="D45" s="5">
        <v>1000</v>
      </c>
    </row>
    <row r="46" spans="1:4" x14ac:dyDescent="0.25">
      <c r="A46" s="2">
        <v>20</v>
      </c>
      <c r="B46" s="2">
        <v>1</v>
      </c>
      <c r="C46" s="2">
        <v>20250101</v>
      </c>
      <c r="D46" s="5">
        <v>173</v>
      </c>
    </row>
    <row r="47" spans="1:4" x14ac:dyDescent="0.25">
      <c r="A47" s="2">
        <v>20</v>
      </c>
      <c r="B47" s="2">
        <v>2</v>
      </c>
      <c r="C47" s="2">
        <v>20250101</v>
      </c>
      <c r="D47" s="5">
        <v>3800</v>
      </c>
    </row>
    <row r="48" spans="1:4" x14ac:dyDescent="0.25">
      <c r="A48" s="2">
        <v>21</v>
      </c>
      <c r="B48" s="2">
        <v>1</v>
      </c>
      <c r="C48" s="2">
        <v>20250101</v>
      </c>
      <c r="D48" s="5">
        <v>619</v>
      </c>
    </row>
    <row r="49" spans="1:4" x14ac:dyDescent="0.25">
      <c r="A49" s="2">
        <v>21</v>
      </c>
      <c r="B49" s="2">
        <v>2</v>
      </c>
      <c r="C49" s="2">
        <v>20250101</v>
      </c>
      <c r="D49" s="5">
        <v>9700</v>
      </c>
    </row>
    <row r="50" spans="1:4" x14ac:dyDescent="0.25">
      <c r="A50" s="2">
        <v>21</v>
      </c>
      <c r="B50" s="2">
        <v>3</v>
      </c>
      <c r="C50" s="2">
        <v>20250101</v>
      </c>
      <c r="D50" s="5">
        <v>8500</v>
      </c>
    </row>
    <row r="51" spans="1:4" x14ac:dyDescent="0.25">
      <c r="A51" s="2">
        <v>22</v>
      </c>
      <c r="B51" s="2">
        <v>1</v>
      </c>
      <c r="C51" s="2">
        <v>20250101</v>
      </c>
      <c r="D51" s="5">
        <v>430</v>
      </c>
    </row>
    <row r="52" spans="1:4" x14ac:dyDescent="0.25">
      <c r="A52" s="2">
        <v>22</v>
      </c>
      <c r="B52" s="2">
        <v>2</v>
      </c>
      <c r="C52" s="2">
        <v>20250101</v>
      </c>
      <c r="D52" s="5">
        <v>1200</v>
      </c>
    </row>
    <row r="53" spans="1:4" x14ac:dyDescent="0.25">
      <c r="A53" s="2">
        <v>24</v>
      </c>
      <c r="B53" s="2">
        <v>1</v>
      </c>
      <c r="C53" s="2">
        <v>20250101</v>
      </c>
      <c r="D53" s="5">
        <v>25000</v>
      </c>
    </row>
    <row r="54" spans="1:4" x14ac:dyDescent="0.25">
      <c r="A54" s="2">
        <v>24</v>
      </c>
      <c r="B54" s="2">
        <v>2</v>
      </c>
      <c r="C54" s="2">
        <v>20250101</v>
      </c>
      <c r="D54" s="5">
        <v>30000</v>
      </c>
    </row>
    <row r="55" spans="1:4" x14ac:dyDescent="0.25">
      <c r="A55" s="2">
        <v>25</v>
      </c>
      <c r="B55" s="2">
        <v>1</v>
      </c>
      <c r="C55" s="2">
        <v>20250101</v>
      </c>
      <c r="D55" s="5">
        <v>317</v>
      </c>
    </row>
    <row r="56" spans="1:4" x14ac:dyDescent="0.25">
      <c r="A56" s="2">
        <v>25</v>
      </c>
      <c r="B56" s="2">
        <v>2</v>
      </c>
      <c r="C56" s="2">
        <v>20250101</v>
      </c>
      <c r="D56" s="5">
        <v>807</v>
      </c>
    </row>
    <row r="57" spans="1:4" x14ac:dyDescent="0.25">
      <c r="A57" s="2">
        <v>26</v>
      </c>
      <c r="B57" s="2">
        <v>1</v>
      </c>
      <c r="C57" s="2">
        <v>20250101</v>
      </c>
      <c r="D57" s="5">
        <v>2595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9"/>
  <sheetViews>
    <sheetView tabSelected="1" zoomScaleNormal="100" workbookViewId="0">
      <pane ySplit="1" topLeftCell="A2" activePane="bottomLeft" state="frozen"/>
      <selection pane="bottomLeft" activeCell="O11" sqref="O11"/>
    </sheetView>
  </sheetViews>
  <sheetFormatPr defaultColWidth="8.7109375" defaultRowHeight="15" x14ac:dyDescent="0.25"/>
  <cols>
    <col min="1" max="1" width="12" customWidth="1"/>
    <col min="2" max="2" width="10" customWidth="1"/>
    <col min="3" max="4" width="12" customWidth="1"/>
    <col min="5" max="5" width="11" customWidth="1"/>
  </cols>
  <sheetData>
    <row r="1" spans="1:5" ht="30" customHeight="1" x14ac:dyDescent="0.25">
      <c r="A1" s="3" t="s">
        <v>0</v>
      </c>
      <c r="B1" s="3" t="s">
        <v>403</v>
      </c>
      <c r="C1" s="3" t="s">
        <v>404</v>
      </c>
      <c r="D1" s="3" t="s">
        <v>405</v>
      </c>
      <c r="E1" s="3" t="s">
        <v>345</v>
      </c>
    </row>
    <row r="2" spans="1:5" x14ac:dyDescent="0.25">
      <c r="A2" s="2">
        <v>1</v>
      </c>
      <c r="B2" s="2" t="s">
        <v>381</v>
      </c>
      <c r="C2" s="6">
        <v>2240</v>
      </c>
      <c r="D2" s="6">
        <v>2240</v>
      </c>
      <c r="E2" s="2">
        <v>5</v>
      </c>
    </row>
    <row r="3" spans="1:5" x14ac:dyDescent="0.25">
      <c r="A3" s="2">
        <v>2</v>
      </c>
      <c r="B3" s="2" t="s">
        <v>381</v>
      </c>
      <c r="C3" s="6">
        <v>7900</v>
      </c>
      <c r="D3" s="6">
        <v>7900</v>
      </c>
      <c r="E3" s="2">
        <v>2</v>
      </c>
    </row>
    <row r="4" spans="1:5" x14ac:dyDescent="0.25">
      <c r="A4" s="2">
        <v>2</v>
      </c>
      <c r="B4" s="2" t="s">
        <v>381</v>
      </c>
      <c r="C4" s="6">
        <v>15300</v>
      </c>
      <c r="D4" s="6">
        <v>15300</v>
      </c>
      <c r="E4" s="2">
        <v>5</v>
      </c>
    </row>
    <row r="5" spans="1:5" x14ac:dyDescent="0.25">
      <c r="A5" s="2">
        <v>3</v>
      </c>
      <c r="B5" s="2" t="s">
        <v>381</v>
      </c>
      <c r="C5" s="6">
        <v>8270</v>
      </c>
      <c r="D5" s="6">
        <v>9974</v>
      </c>
      <c r="E5" s="2">
        <v>3</v>
      </c>
    </row>
    <row r="6" spans="1:5" x14ac:dyDescent="0.25">
      <c r="A6" s="2">
        <v>4</v>
      </c>
      <c r="B6" s="2" t="s">
        <v>381</v>
      </c>
      <c r="C6" s="6">
        <v>3500</v>
      </c>
      <c r="D6" s="6">
        <v>4300</v>
      </c>
      <c r="E6" s="2">
        <v>2</v>
      </c>
    </row>
    <row r="7" spans="1:5" x14ac:dyDescent="0.25">
      <c r="A7" s="2">
        <v>4</v>
      </c>
      <c r="B7" s="2" t="s">
        <v>381</v>
      </c>
      <c r="C7" s="6">
        <v>4500</v>
      </c>
      <c r="D7" s="6">
        <v>5500</v>
      </c>
      <c r="E7" s="2">
        <v>4</v>
      </c>
    </row>
    <row r="8" spans="1:5" x14ac:dyDescent="0.25">
      <c r="A8" s="2">
        <v>4</v>
      </c>
      <c r="B8" s="2" t="s">
        <v>381</v>
      </c>
      <c r="C8" s="6">
        <v>11000</v>
      </c>
      <c r="D8" s="6">
        <v>12500</v>
      </c>
      <c r="E8" s="2">
        <v>6</v>
      </c>
    </row>
    <row r="9" spans="1:5" x14ac:dyDescent="0.25">
      <c r="A9" s="2">
        <v>5</v>
      </c>
      <c r="B9" s="2" t="s">
        <v>381</v>
      </c>
      <c r="C9" s="6">
        <v>4700</v>
      </c>
      <c r="D9" s="6">
        <v>5800</v>
      </c>
      <c r="E9" s="2">
        <v>2</v>
      </c>
    </row>
    <row r="10" spans="1:5" x14ac:dyDescent="0.25">
      <c r="A10" s="2">
        <v>5</v>
      </c>
      <c r="B10" s="2" t="s">
        <v>381</v>
      </c>
      <c r="C10" s="6">
        <v>6000</v>
      </c>
      <c r="D10" s="6">
        <v>7500</v>
      </c>
      <c r="E10" s="2">
        <v>4</v>
      </c>
    </row>
    <row r="11" spans="1:5" x14ac:dyDescent="0.25">
      <c r="A11" s="2">
        <v>5</v>
      </c>
      <c r="B11" s="2" t="s">
        <v>381</v>
      </c>
      <c r="C11" s="6">
        <v>15000</v>
      </c>
      <c r="D11" s="6">
        <v>18000</v>
      </c>
      <c r="E11" s="2">
        <v>6</v>
      </c>
    </row>
    <row r="12" spans="1:5" x14ac:dyDescent="0.25">
      <c r="A12" s="2">
        <v>6</v>
      </c>
      <c r="B12" s="2" t="s">
        <v>381</v>
      </c>
      <c r="C12" s="6">
        <v>5000</v>
      </c>
      <c r="D12" s="6">
        <v>6500</v>
      </c>
      <c r="E12" s="2">
        <v>2</v>
      </c>
    </row>
    <row r="13" spans="1:5" x14ac:dyDescent="0.25">
      <c r="A13" s="2">
        <v>6</v>
      </c>
      <c r="B13" s="2" t="s">
        <v>381</v>
      </c>
      <c r="C13" s="6">
        <v>6500</v>
      </c>
      <c r="D13" s="6">
        <v>8500</v>
      </c>
      <c r="E13" s="2">
        <v>4</v>
      </c>
    </row>
    <row r="14" spans="1:5" x14ac:dyDescent="0.25">
      <c r="A14" s="2">
        <v>7</v>
      </c>
      <c r="B14" s="2" t="s">
        <v>381</v>
      </c>
      <c r="C14" s="6">
        <v>3500</v>
      </c>
      <c r="D14" s="6">
        <v>3500</v>
      </c>
      <c r="E14" s="2">
        <v>4</v>
      </c>
    </row>
    <row r="15" spans="1:5" x14ac:dyDescent="0.25">
      <c r="A15" s="2">
        <v>7</v>
      </c>
      <c r="B15" s="2" t="s">
        <v>381</v>
      </c>
      <c r="C15" s="6">
        <v>4500</v>
      </c>
      <c r="D15" s="6">
        <v>4500</v>
      </c>
      <c r="E15" s="2">
        <v>5</v>
      </c>
    </row>
    <row r="16" spans="1:5" x14ac:dyDescent="0.25">
      <c r="A16" s="2">
        <v>7</v>
      </c>
      <c r="B16" s="2" t="s">
        <v>381</v>
      </c>
      <c r="C16" s="6">
        <v>8000</v>
      </c>
      <c r="D16" s="6">
        <v>8000</v>
      </c>
      <c r="E16" s="2">
        <v>6</v>
      </c>
    </row>
    <row r="17" spans="1:5" x14ac:dyDescent="0.25">
      <c r="A17" s="2">
        <v>8</v>
      </c>
      <c r="B17" s="2" t="s">
        <v>381</v>
      </c>
      <c r="C17" s="6">
        <v>2500</v>
      </c>
      <c r="D17" s="6">
        <v>2600</v>
      </c>
      <c r="E17" s="2">
        <v>2</v>
      </c>
    </row>
    <row r="18" spans="1:5" x14ac:dyDescent="0.25">
      <c r="A18" s="2">
        <v>8</v>
      </c>
      <c r="B18" s="2" t="s">
        <v>381</v>
      </c>
      <c r="C18" s="6">
        <v>4950</v>
      </c>
      <c r="D18" s="6">
        <v>5030</v>
      </c>
      <c r="E18" s="2">
        <v>5</v>
      </c>
    </row>
    <row r="19" spans="1:5" x14ac:dyDescent="0.25">
      <c r="A19" s="2">
        <v>8</v>
      </c>
      <c r="B19" s="2" t="s">
        <v>381</v>
      </c>
      <c r="C19" s="6">
        <v>9800</v>
      </c>
      <c r="D19" s="6">
        <v>10100</v>
      </c>
      <c r="E19" s="2">
        <v>6</v>
      </c>
    </row>
    <row r="20" spans="1:5" x14ac:dyDescent="0.25">
      <c r="A20" s="2">
        <v>9</v>
      </c>
      <c r="B20" s="2" t="s">
        <v>381</v>
      </c>
      <c r="C20" s="6">
        <v>2400</v>
      </c>
      <c r="D20" s="6">
        <v>2400</v>
      </c>
      <c r="E20" s="2">
        <v>2</v>
      </c>
    </row>
    <row r="21" spans="1:5" x14ac:dyDescent="0.25">
      <c r="A21" s="2">
        <v>9</v>
      </c>
      <c r="B21" s="2" t="s">
        <v>381</v>
      </c>
      <c r="C21" s="6">
        <v>4100</v>
      </c>
      <c r="D21" s="6">
        <v>4100</v>
      </c>
      <c r="E21" s="2">
        <v>5</v>
      </c>
    </row>
    <row r="22" spans="1:5" x14ac:dyDescent="0.25">
      <c r="A22" s="2">
        <v>9</v>
      </c>
      <c r="B22" s="2" t="s">
        <v>381</v>
      </c>
      <c r="C22" s="6">
        <v>7900</v>
      </c>
      <c r="D22" s="6">
        <v>7900</v>
      </c>
      <c r="E22" s="2">
        <v>6</v>
      </c>
    </row>
    <row r="23" spans="1:5" x14ac:dyDescent="0.25">
      <c r="A23" s="2">
        <v>10</v>
      </c>
      <c r="B23" s="2" t="s">
        <v>366</v>
      </c>
      <c r="C23" s="6">
        <v>13.5</v>
      </c>
      <c r="D23" s="6">
        <v>13.5</v>
      </c>
      <c r="E23" s="2">
        <v>4</v>
      </c>
    </row>
    <row r="24" spans="1:5" x14ac:dyDescent="0.25">
      <c r="A24" s="2">
        <v>10</v>
      </c>
      <c r="B24" s="2" t="s">
        <v>366</v>
      </c>
      <c r="C24" s="6">
        <v>32</v>
      </c>
      <c r="D24" s="6">
        <v>32</v>
      </c>
      <c r="E24" s="2">
        <v>6</v>
      </c>
    </row>
    <row r="25" spans="1:5" x14ac:dyDescent="0.25">
      <c r="A25" s="2">
        <v>12</v>
      </c>
      <c r="B25" s="2" t="s">
        <v>366</v>
      </c>
      <c r="C25" s="6">
        <v>16</v>
      </c>
      <c r="D25" s="6">
        <v>16</v>
      </c>
      <c r="E25" s="2">
        <v>4</v>
      </c>
    </row>
    <row r="26" spans="1:5" x14ac:dyDescent="0.25">
      <c r="A26" s="2">
        <v>12</v>
      </c>
      <c r="B26" s="2" t="s">
        <v>366</v>
      </c>
      <c r="C26" s="6">
        <v>40</v>
      </c>
      <c r="D26" s="6">
        <v>40</v>
      </c>
      <c r="E26" s="2">
        <v>6</v>
      </c>
    </row>
    <row r="27" spans="1:5" x14ac:dyDescent="0.25">
      <c r="A27" s="2">
        <v>13</v>
      </c>
      <c r="B27" s="2" t="s">
        <v>381</v>
      </c>
      <c r="C27" s="6">
        <v>3000</v>
      </c>
      <c r="D27" s="6">
        <v>3400</v>
      </c>
      <c r="E27" s="2">
        <v>4</v>
      </c>
    </row>
    <row r="28" spans="1:5" x14ac:dyDescent="0.25">
      <c r="A28" s="2">
        <v>13</v>
      </c>
      <c r="B28" s="2" t="s">
        <v>381</v>
      </c>
      <c r="C28" s="6">
        <v>7500</v>
      </c>
      <c r="D28" s="6">
        <v>9000</v>
      </c>
      <c r="E28" s="2">
        <v>6</v>
      </c>
    </row>
    <row r="29" spans="1:5" x14ac:dyDescent="0.25">
      <c r="A29" s="2">
        <v>13</v>
      </c>
      <c r="B29" s="2" t="s">
        <v>381</v>
      </c>
      <c r="C29" s="6">
        <v>2200</v>
      </c>
      <c r="D29" s="6">
        <v>2500</v>
      </c>
      <c r="E29" s="2">
        <v>2</v>
      </c>
    </row>
    <row r="30" spans="1:5" x14ac:dyDescent="0.25">
      <c r="A30" s="2">
        <v>13</v>
      </c>
      <c r="B30" s="2" t="s">
        <v>381</v>
      </c>
      <c r="C30" s="6">
        <v>4200</v>
      </c>
      <c r="D30" s="6">
        <v>4800</v>
      </c>
      <c r="E30" s="2">
        <v>5</v>
      </c>
    </row>
    <row r="31" spans="1:5" x14ac:dyDescent="0.25">
      <c r="A31" s="2">
        <v>14</v>
      </c>
      <c r="B31" s="2" t="s">
        <v>381</v>
      </c>
      <c r="C31" s="6">
        <v>9300</v>
      </c>
      <c r="D31" s="6">
        <v>9300</v>
      </c>
      <c r="E31" s="2">
        <v>2</v>
      </c>
    </row>
    <row r="32" spans="1:5" x14ac:dyDescent="0.25">
      <c r="A32" s="2">
        <v>14</v>
      </c>
      <c r="B32" s="2" t="s">
        <v>381</v>
      </c>
      <c r="C32" s="6">
        <v>12000</v>
      </c>
      <c r="D32" s="6">
        <v>12000</v>
      </c>
      <c r="E32" s="2">
        <v>4</v>
      </c>
    </row>
    <row r="33" spans="1:5" x14ac:dyDescent="0.25">
      <c r="A33" s="2">
        <v>15</v>
      </c>
      <c r="B33" s="2" t="s">
        <v>381</v>
      </c>
      <c r="C33" s="6">
        <v>3350</v>
      </c>
      <c r="D33" s="6">
        <v>3350</v>
      </c>
      <c r="E33" s="2">
        <v>2</v>
      </c>
    </row>
    <row r="34" spans="1:5" x14ac:dyDescent="0.25">
      <c r="A34" s="2">
        <v>15</v>
      </c>
      <c r="B34" s="2" t="s">
        <v>381</v>
      </c>
      <c r="C34" s="6">
        <v>6700</v>
      </c>
      <c r="D34" s="6">
        <v>6700</v>
      </c>
      <c r="E34" s="2">
        <v>5</v>
      </c>
    </row>
    <row r="35" spans="1:5" x14ac:dyDescent="0.25">
      <c r="A35" s="2">
        <v>16</v>
      </c>
      <c r="B35" s="2" t="s">
        <v>381</v>
      </c>
      <c r="C35" s="6">
        <v>2870</v>
      </c>
      <c r="D35" s="6">
        <v>2870</v>
      </c>
      <c r="E35" s="2">
        <v>2</v>
      </c>
    </row>
    <row r="36" spans="1:5" x14ac:dyDescent="0.25">
      <c r="A36" s="2">
        <v>16</v>
      </c>
      <c r="B36" s="2" t="s">
        <v>381</v>
      </c>
      <c r="C36" s="6">
        <v>4600</v>
      </c>
      <c r="D36" s="6">
        <v>4600</v>
      </c>
      <c r="E36" s="2">
        <v>5</v>
      </c>
    </row>
    <row r="37" spans="1:5" x14ac:dyDescent="0.25">
      <c r="A37" s="2">
        <v>16</v>
      </c>
      <c r="B37" s="2" t="s">
        <v>381</v>
      </c>
      <c r="C37" s="6">
        <v>8775</v>
      </c>
      <c r="D37" s="6">
        <v>8775</v>
      </c>
      <c r="E37" s="2">
        <v>6</v>
      </c>
    </row>
    <row r="38" spans="1:5" x14ac:dyDescent="0.25">
      <c r="A38" s="2">
        <v>17</v>
      </c>
      <c r="B38" s="2" t="s">
        <v>381</v>
      </c>
      <c r="C38" s="6">
        <v>5290</v>
      </c>
      <c r="D38" s="6">
        <v>5290</v>
      </c>
      <c r="E38" s="2">
        <v>4</v>
      </c>
    </row>
    <row r="39" spans="1:5" x14ac:dyDescent="0.25">
      <c r="A39" s="2">
        <v>17</v>
      </c>
      <c r="B39" s="2" t="s">
        <v>381</v>
      </c>
      <c r="C39" s="6">
        <v>13500</v>
      </c>
      <c r="D39" s="6">
        <v>13500</v>
      </c>
      <c r="E39" s="2">
        <v>6</v>
      </c>
    </row>
    <row r="40" spans="1:5" x14ac:dyDescent="0.25">
      <c r="A40" s="2">
        <v>18</v>
      </c>
      <c r="B40" s="2" t="s">
        <v>381</v>
      </c>
      <c r="C40" s="6">
        <v>2050</v>
      </c>
      <c r="D40" s="6">
        <v>2650</v>
      </c>
      <c r="E40" s="2">
        <v>2</v>
      </c>
    </row>
    <row r="41" spans="1:5" x14ac:dyDescent="0.25">
      <c r="A41" s="2">
        <v>18</v>
      </c>
      <c r="B41" s="2" t="s">
        <v>381</v>
      </c>
      <c r="C41" s="6">
        <v>4100</v>
      </c>
      <c r="D41" s="6">
        <v>5900</v>
      </c>
      <c r="E41" s="2">
        <v>5</v>
      </c>
    </row>
    <row r="42" spans="1:5" x14ac:dyDescent="0.25">
      <c r="A42" s="2">
        <v>19</v>
      </c>
      <c r="B42" s="2" t="s">
        <v>381</v>
      </c>
      <c r="C42" s="6">
        <v>5500</v>
      </c>
      <c r="D42" s="6">
        <v>7000</v>
      </c>
      <c r="E42" s="2">
        <v>2</v>
      </c>
    </row>
    <row r="43" spans="1:5" x14ac:dyDescent="0.25">
      <c r="A43" s="2">
        <v>19</v>
      </c>
      <c r="B43" s="2" t="s">
        <v>381</v>
      </c>
      <c r="C43" s="6">
        <v>10000</v>
      </c>
      <c r="D43" s="6">
        <v>13000</v>
      </c>
      <c r="E43" s="2">
        <v>5</v>
      </c>
    </row>
    <row r="44" spans="1:5" x14ac:dyDescent="0.25">
      <c r="A44" s="2">
        <v>19</v>
      </c>
      <c r="B44" s="2" t="s">
        <v>381</v>
      </c>
      <c r="C44" s="6">
        <v>18000</v>
      </c>
      <c r="D44" s="6">
        <v>24000</v>
      </c>
      <c r="E44" s="2">
        <v>6</v>
      </c>
    </row>
    <row r="45" spans="1:5" x14ac:dyDescent="0.25">
      <c r="A45" s="2">
        <v>20</v>
      </c>
      <c r="B45" s="2" t="s">
        <v>381</v>
      </c>
      <c r="C45" s="6">
        <v>2500</v>
      </c>
      <c r="D45" s="6">
        <v>3400</v>
      </c>
      <c r="E45" s="2">
        <v>2</v>
      </c>
    </row>
    <row r="46" spans="1:5" x14ac:dyDescent="0.25">
      <c r="A46" s="2">
        <v>20</v>
      </c>
      <c r="B46" s="2" t="s">
        <v>381</v>
      </c>
      <c r="C46" s="6">
        <v>4800</v>
      </c>
      <c r="D46" s="6">
        <v>6500</v>
      </c>
      <c r="E46" s="2">
        <v>5</v>
      </c>
    </row>
    <row r="47" spans="1:5" x14ac:dyDescent="0.25">
      <c r="A47" s="2">
        <v>21</v>
      </c>
      <c r="B47" s="2" t="s">
        <v>381</v>
      </c>
      <c r="C47" s="6">
        <v>2200</v>
      </c>
      <c r="D47" s="6">
        <v>2900</v>
      </c>
      <c r="E47" s="2">
        <v>2</v>
      </c>
    </row>
    <row r="48" spans="1:5" x14ac:dyDescent="0.25">
      <c r="A48" s="2">
        <v>21</v>
      </c>
      <c r="B48" s="2" t="s">
        <v>381</v>
      </c>
      <c r="C48" s="6">
        <v>4300</v>
      </c>
      <c r="D48" s="6">
        <v>5600</v>
      </c>
      <c r="E48" s="2">
        <v>5</v>
      </c>
    </row>
    <row r="49" spans="1:5" x14ac:dyDescent="0.25">
      <c r="A49" s="2">
        <v>22</v>
      </c>
      <c r="B49" s="2" t="s">
        <v>381</v>
      </c>
      <c r="C49" s="6">
        <v>2400</v>
      </c>
      <c r="D49" s="6">
        <v>3200</v>
      </c>
      <c r="E49" s="2">
        <v>2</v>
      </c>
    </row>
    <row r="50" spans="1:5" x14ac:dyDescent="0.25">
      <c r="A50" s="2">
        <v>22</v>
      </c>
      <c r="B50" s="2" t="s">
        <v>381</v>
      </c>
      <c r="C50" s="6">
        <v>3500</v>
      </c>
      <c r="D50" s="6">
        <v>4600</v>
      </c>
      <c r="E50" s="2">
        <v>4</v>
      </c>
    </row>
    <row r="51" spans="1:5" x14ac:dyDescent="0.25">
      <c r="A51" s="2">
        <v>24</v>
      </c>
      <c r="B51" s="2" t="s">
        <v>381</v>
      </c>
      <c r="C51" s="6">
        <v>7900</v>
      </c>
      <c r="D51" s="6">
        <v>9500</v>
      </c>
      <c r="E51" s="2">
        <v>1</v>
      </c>
    </row>
    <row r="52" spans="1:5" x14ac:dyDescent="0.25">
      <c r="A52" s="2">
        <v>24</v>
      </c>
      <c r="B52" s="2" t="s">
        <v>381</v>
      </c>
      <c r="C52" s="6">
        <v>8500</v>
      </c>
      <c r="D52" s="6">
        <v>11900</v>
      </c>
      <c r="E52" s="2">
        <v>3</v>
      </c>
    </row>
    <row r="53" spans="1:5" x14ac:dyDescent="0.25">
      <c r="A53" s="2">
        <v>24</v>
      </c>
      <c r="B53" s="2" t="s">
        <v>381</v>
      </c>
      <c r="C53" s="6">
        <v>14500</v>
      </c>
      <c r="D53" s="6">
        <v>18500</v>
      </c>
      <c r="E53" s="2">
        <v>5</v>
      </c>
    </row>
    <row r="54" spans="1:5" x14ac:dyDescent="0.25">
      <c r="A54" s="2">
        <v>25</v>
      </c>
      <c r="B54" s="2" t="s">
        <v>381</v>
      </c>
      <c r="C54" s="6">
        <v>5500</v>
      </c>
      <c r="D54" s="6">
        <v>7000</v>
      </c>
      <c r="E54" s="2">
        <v>2</v>
      </c>
    </row>
    <row r="55" spans="1:5" x14ac:dyDescent="0.25">
      <c r="A55" s="2">
        <v>25</v>
      </c>
      <c r="B55" s="2" t="s">
        <v>381</v>
      </c>
      <c r="C55" s="6">
        <v>7500</v>
      </c>
      <c r="D55" s="6">
        <v>9800</v>
      </c>
      <c r="E55" s="2">
        <v>4</v>
      </c>
    </row>
    <row r="56" spans="1:5" x14ac:dyDescent="0.25">
      <c r="A56" s="2">
        <v>25</v>
      </c>
      <c r="B56" s="2" t="s">
        <v>381</v>
      </c>
      <c r="C56" s="6">
        <v>16500</v>
      </c>
      <c r="D56" s="6">
        <v>21000</v>
      </c>
      <c r="E56" s="2">
        <v>6</v>
      </c>
    </row>
    <row r="57" spans="1:5" x14ac:dyDescent="0.25">
      <c r="A57" s="2">
        <v>26</v>
      </c>
      <c r="B57" s="2" t="s">
        <v>381</v>
      </c>
      <c r="C57" s="6">
        <v>5500</v>
      </c>
      <c r="D57" s="6">
        <v>7500</v>
      </c>
      <c r="E57" s="2">
        <v>2</v>
      </c>
    </row>
    <row r="58" spans="1:5" x14ac:dyDescent="0.25">
      <c r="A58" s="2">
        <v>26</v>
      </c>
      <c r="B58" s="2" t="s">
        <v>381</v>
      </c>
      <c r="C58" s="6">
        <v>7500</v>
      </c>
      <c r="D58" s="6">
        <v>9500</v>
      </c>
      <c r="E58" s="2">
        <v>4</v>
      </c>
    </row>
    <row r="59" spans="1:5" x14ac:dyDescent="0.25">
      <c r="A59" s="2">
        <v>26</v>
      </c>
      <c r="B59" s="2" t="s">
        <v>381</v>
      </c>
      <c r="C59" s="6">
        <v>7500</v>
      </c>
      <c r="D59" s="6">
        <v>9500</v>
      </c>
      <c r="E59" s="2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4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3" customWidth="1"/>
  </cols>
  <sheetData>
    <row r="1" spans="1:2" ht="30" customHeight="1" x14ac:dyDescent="0.25">
      <c r="A1" s="7" t="s">
        <v>0</v>
      </c>
      <c r="B1" s="7" t="s">
        <v>312</v>
      </c>
    </row>
    <row r="2" spans="1:2" x14ac:dyDescent="0.25">
      <c r="A2" s="2">
        <v>1</v>
      </c>
      <c r="B2" s="2">
        <v>1</v>
      </c>
    </row>
    <row r="3" spans="1:2" x14ac:dyDescent="0.25">
      <c r="A3" s="2">
        <v>1</v>
      </c>
      <c r="B3" s="2">
        <v>2</v>
      </c>
    </row>
    <row r="4" spans="1:2" x14ac:dyDescent="0.25">
      <c r="A4" s="2">
        <v>1</v>
      </c>
      <c r="B4" s="2">
        <v>3</v>
      </c>
    </row>
    <row r="5" spans="1:2" x14ac:dyDescent="0.25">
      <c r="A5" s="2">
        <v>2</v>
      </c>
      <c r="B5" s="2">
        <v>4</v>
      </c>
    </row>
    <row r="6" spans="1:2" x14ac:dyDescent="0.25">
      <c r="A6" s="2">
        <v>2</v>
      </c>
      <c r="B6" s="2">
        <v>5</v>
      </c>
    </row>
    <row r="7" spans="1:2" x14ac:dyDescent="0.25">
      <c r="A7" s="2">
        <v>2</v>
      </c>
      <c r="B7" s="2">
        <v>3</v>
      </c>
    </row>
    <row r="8" spans="1:2" x14ac:dyDescent="0.25">
      <c r="A8" s="2">
        <v>2</v>
      </c>
      <c r="B8" s="2">
        <v>6</v>
      </c>
    </row>
    <row r="9" spans="1:2" x14ac:dyDescent="0.25">
      <c r="A9" s="2">
        <v>2</v>
      </c>
      <c r="B9" s="2">
        <v>7</v>
      </c>
    </row>
    <row r="10" spans="1:2" x14ac:dyDescent="0.25">
      <c r="A10" s="2">
        <v>3</v>
      </c>
      <c r="B10" s="2">
        <v>1</v>
      </c>
    </row>
    <row r="11" spans="1:2" x14ac:dyDescent="0.25">
      <c r="A11" s="2">
        <v>3</v>
      </c>
      <c r="B11" s="2">
        <v>2</v>
      </c>
    </row>
    <row r="12" spans="1:2" x14ac:dyDescent="0.25">
      <c r="A12" s="2">
        <v>4</v>
      </c>
      <c r="B12" s="2">
        <v>1</v>
      </c>
    </row>
    <row r="13" spans="1:2" x14ac:dyDescent="0.25">
      <c r="A13" s="2">
        <v>4</v>
      </c>
      <c r="B13" s="2">
        <v>2</v>
      </c>
    </row>
    <row r="14" spans="1:2" x14ac:dyDescent="0.25">
      <c r="A14" s="2">
        <v>4</v>
      </c>
      <c r="B14" s="2">
        <v>3</v>
      </c>
    </row>
    <row r="15" spans="1:2" x14ac:dyDescent="0.25">
      <c r="A15" s="2">
        <v>4</v>
      </c>
      <c r="B15" s="2">
        <v>8</v>
      </c>
    </row>
    <row r="16" spans="1:2" x14ac:dyDescent="0.25">
      <c r="A16" s="2">
        <v>5</v>
      </c>
      <c r="B16" s="2">
        <v>1</v>
      </c>
    </row>
    <row r="17" spans="1:2" x14ac:dyDescent="0.25">
      <c r="A17" s="2">
        <v>5</v>
      </c>
      <c r="B17" s="2">
        <v>2</v>
      </c>
    </row>
    <row r="18" spans="1:2" x14ac:dyDescent="0.25">
      <c r="A18" s="2">
        <v>6</v>
      </c>
      <c r="B18" s="2">
        <v>3</v>
      </c>
    </row>
    <row r="19" spans="1:2" x14ac:dyDescent="0.25">
      <c r="A19" s="2">
        <v>6</v>
      </c>
      <c r="B19" s="2">
        <v>9</v>
      </c>
    </row>
    <row r="20" spans="1:2" x14ac:dyDescent="0.25">
      <c r="A20" s="2">
        <v>6</v>
      </c>
      <c r="B20" s="2">
        <v>10</v>
      </c>
    </row>
    <row r="21" spans="1:2" x14ac:dyDescent="0.25">
      <c r="A21" s="2">
        <v>6</v>
      </c>
      <c r="B21" s="2">
        <v>1</v>
      </c>
    </row>
    <row r="22" spans="1:2" x14ac:dyDescent="0.25">
      <c r="A22" s="2">
        <v>6</v>
      </c>
      <c r="B22" s="2">
        <v>2</v>
      </c>
    </row>
    <row r="23" spans="1:2" x14ac:dyDescent="0.25">
      <c r="A23" s="2">
        <v>7</v>
      </c>
      <c r="B23" s="2">
        <v>1</v>
      </c>
    </row>
    <row r="24" spans="1:2" x14ac:dyDescent="0.25">
      <c r="A24" s="2">
        <v>7</v>
      </c>
      <c r="B24" s="2">
        <v>2</v>
      </c>
    </row>
    <row r="25" spans="1:2" x14ac:dyDescent="0.25">
      <c r="A25" s="2">
        <v>8</v>
      </c>
      <c r="B25" s="2">
        <v>1</v>
      </c>
    </row>
    <row r="26" spans="1:2" x14ac:dyDescent="0.25">
      <c r="A26" s="2">
        <v>8</v>
      </c>
      <c r="B26" s="2">
        <v>2</v>
      </c>
    </row>
    <row r="27" spans="1:2" x14ac:dyDescent="0.25">
      <c r="A27" s="2">
        <v>8</v>
      </c>
      <c r="B27" s="2">
        <v>11</v>
      </c>
    </row>
    <row r="28" spans="1:2" x14ac:dyDescent="0.25">
      <c r="A28" s="2">
        <v>8</v>
      </c>
      <c r="B28" s="2">
        <v>12</v>
      </c>
    </row>
    <row r="29" spans="1:2" x14ac:dyDescent="0.25">
      <c r="A29" s="2">
        <v>9</v>
      </c>
      <c r="B29" s="2">
        <v>1</v>
      </c>
    </row>
    <row r="30" spans="1:2" x14ac:dyDescent="0.25">
      <c r="A30" s="2">
        <v>9</v>
      </c>
      <c r="B30" s="2">
        <v>2</v>
      </c>
    </row>
    <row r="31" spans="1:2" x14ac:dyDescent="0.25">
      <c r="A31" s="2">
        <v>10</v>
      </c>
      <c r="B31" s="2">
        <v>13</v>
      </c>
    </row>
    <row r="32" spans="1:2" x14ac:dyDescent="0.25">
      <c r="A32" s="2">
        <v>12</v>
      </c>
      <c r="B32" s="2">
        <v>1</v>
      </c>
    </row>
    <row r="33" spans="1:2" x14ac:dyDescent="0.25">
      <c r="A33" s="2">
        <v>12</v>
      </c>
      <c r="B33" s="2">
        <v>12</v>
      </c>
    </row>
    <row r="34" spans="1:2" x14ac:dyDescent="0.25">
      <c r="A34" s="2">
        <v>12</v>
      </c>
      <c r="B34" s="2">
        <v>2</v>
      </c>
    </row>
    <row r="35" spans="1:2" x14ac:dyDescent="0.25">
      <c r="A35" s="2">
        <v>12</v>
      </c>
      <c r="B35" s="2">
        <v>14</v>
      </c>
    </row>
    <row r="36" spans="1:2" x14ac:dyDescent="0.25">
      <c r="A36" s="2">
        <v>12</v>
      </c>
      <c r="B36" s="2">
        <v>3</v>
      </c>
    </row>
    <row r="37" spans="1:2" x14ac:dyDescent="0.25">
      <c r="A37" s="2">
        <v>13</v>
      </c>
      <c r="B37" s="2">
        <v>1</v>
      </c>
    </row>
    <row r="38" spans="1:2" x14ac:dyDescent="0.25">
      <c r="A38" s="2">
        <v>13</v>
      </c>
      <c r="B38" s="2">
        <v>2</v>
      </c>
    </row>
    <row r="39" spans="1:2" x14ac:dyDescent="0.25">
      <c r="A39" s="2">
        <v>14</v>
      </c>
      <c r="B39" s="2">
        <v>2</v>
      </c>
    </row>
    <row r="40" spans="1:2" x14ac:dyDescent="0.25">
      <c r="A40" s="2">
        <v>14</v>
      </c>
      <c r="B40" s="2">
        <v>15</v>
      </c>
    </row>
    <row r="41" spans="1:2" x14ac:dyDescent="0.25">
      <c r="A41" s="2">
        <v>14</v>
      </c>
      <c r="B41" s="2">
        <v>1</v>
      </c>
    </row>
    <row r="42" spans="1:2" x14ac:dyDescent="0.25">
      <c r="A42" s="2">
        <v>15</v>
      </c>
      <c r="B42" s="2">
        <v>13</v>
      </c>
    </row>
    <row r="43" spans="1:2" x14ac:dyDescent="0.25">
      <c r="A43" s="2">
        <v>16</v>
      </c>
      <c r="B43" s="2">
        <v>13</v>
      </c>
    </row>
    <row r="44" spans="1:2" x14ac:dyDescent="0.25">
      <c r="A44" s="2">
        <v>17</v>
      </c>
      <c r="B44" s="2">
        <v>1</v>
      </c>
    </row>
    <row r="45" spans="1:2" x14ac:dyDescent="0.25">
      <c r="A45" s="2">
        <v>17</v>
      </c>
      <c r="B45" s="2">
        <v>2</v>
      </c>
    </row>
    <row r="46" spans="1:2" x14ac:dyDescent="0.25">
      <c r="A46" s="2">
        <v>18</v>
      </c>
      <c r="B46" s="2">
        <v>13</v>
      </c>
    </row>
    <row r="47" spans="1:2" x14ac:dyDescent="0.25">
      <c r="A47" s="2">
        <v>19</v>
      </c>
      <c r="B47" s="2">
        <v>1</v>
      </c>
    </row>
    <row r="48" spans="1:2" x14ac:dyDescent="0.25">
      <c r="A48" s="2">
        <v>19</v>
      </c>
      <c r="B48" s="2">
        <v>2</v>
      </c>
    </row>
    <row r="49" spans="1:2" x14ac:dyDescent="0.25">
      <c r="A49" s="2">
        <v>19</v>
      </c>
      <c r="B49" s="2">
        <v>12</v>
      </c>
    </row>
    <row r="50" spans="1:2" x14ac:dyDescent="0.25">
      <c r="A50" s="2">
        <v>20</v>
      </c>
      <c r="B50" s="2">
        <v>13</v>
      </c>
    </row>
    <row r="51" spans="1:2" x14ac:dyDescent="0.25">
      <c r="A51" s="2">
        <v>21</v>
      </c>
      <c r="B51" s="2">
        <v>1</v>
      </c>
    </row>
    <row r="52" spans="1:2" x14ac:dyDescent="0.25">
      <c r="A52" s="2">
        <v>21</v>
      </c>
      <c r="B52" s="2">
        <v>2</v>
      </c>
    </row>
    <row r="53" spans="1:2" x14ac:dyDescent="0.25">
      <c r="A53" s="2">
        <v>21</v>
      </c>
      <c r="B53" s="2">
        <v>12</v>
      </c>
    </row>
    <row r="54" spans="1:2" x14ac:dyDescent="0.25">
      <c r="A54" s="2">
        <v>22</v>
      </c>
      <c r="B54" s="2">
        <v>2</v>
      </c>
    </row>
    <row r="55" spans="1:2" x14ac:dyDescent="0.25">
      <c r="A55" s="2">
        <v>22</v>
      </c>
      <c r="B55" s="2">
        <v>1</v>
      </c>
    </row>
    <row r="56" spans="1:2" x14ac:dyDescent="0.25">
      <c r="A56" s="2">
        <v>22</v>
      </c>
      <c r="B56" s="2">
        <v>16</v>
      </c>
    </row>
    <row r="57" spans="1:2" x14ac:dyDescent="0.25">
      <c r="A57" s="2">
        <v>24</v>
      </c>
      <c r="B57" s="2">
        <v>1</v>
      </c>
    </row>
    <row r="58" spans="1:2" x14ac:dyDescent="0.25">
      <c r="A58" s="2">
        <v>24</v>
      </c>
      <c r="B58" s="2">
        <v>2</v>
      </c>
    </row>
    <row r="59" spans="1:2" x14ac:dyDescent="0.25">
      <c r="A59" s="2">
        <v>24</v>
      </c>
      <c r="B59" s="2">
        <v>3</v>
      </c>
    </row>
    <row r="60" spans="1:2" x14ac:dyDescent="0.25">
      <c r="A60" s="2">
        <v>24</v>
      </c>
      <c r="B60" s="2">
        <v>9</v>
      </c>
    </row>
    <row r="61" spans="1:2" x14ac:dyDescent="0.25">
      <c r="A61" s="2">
        <v>24</v>
      </c>
      <c r="B61" s="2">
        <v>17</v>
      </c>
    </row>
    <row r="62" spans="1:2" x14ac:dyDescent="0.25">
      <c r="A62" s="2">
        <v>24</v>
      </c>
      <c r="B62" s="2">
        <v>18</v>
      </c>
    </row>
    <row r="63" spans="1:2" x14ac:dyDescent="0.25">
      <c r="A63" s="2">
        <v>24</v>
      </c>
      <c r="B63" s="2">
        <v>15</v>
      </c>
    </row>
    <row r="64" spans="1:2" x14ac:dyDescent="0.25">
      <c r="A64" s="2">
        <v>26</v>
      </c>
      <c r="B64" s="2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12" customWidth="1"/>
  </cols>
  <sheetData>
    <row r="1" spans="1:2" ht="30" customHeight="1" x14ac:dyDescent="0.25">
      <c r="A1" s="7" t="s">
        <v>0</v>
      </c>
      <c r="B1" s="7" t="s">
        <v>332</v>
      </c>
    </row>
    <row r="2" spans="1:2" x14ac:dyDescent="0.25">
      <c r="A2" s="2">
        <v>1</v>
      </c>
      <c r="B2" s="2">
        <v>1</v>
      </c>
    </row>
    <row r="3" spans="1:2" x14ac:dyDescent="0.25">
      <c r="A3" s="2">
        <v>1</v>
      </c>
      <c r="B3" s="2">
        <v>2</v>
      </c>
    </row>
    <row r="4" spans="1:2" x14ac:dyDescent="0.25">
      <c r="A4" s="2">
        <v>1</v>
      </c>
      <c r="B4" s="2">
        <v>3</v>
      </c>
    </row>
    <row r="5" spans="1:2" x14ac:dyDescent="0.25">
      <c r="A5" s="2">
        <v>1</v>
      </c>
      <c r="B5" s="2">
        <v>4</v>
      </c>
    </row>
    <row r="6" spans="1:2" x14ac:dyDescent="0.25">
      <c r="A6" s="2">
        <v>2</v>
      </c>
      <c r="B6" s="2">
        <v>2</v>
      </c>
    </row>
    <row r="7" spans="1:2" x14ac:dyDescent="0.25">
      <c r="A7" s="2">
        <v>2</v>
      </c>
      <c r="B7" s="2">
        <v>3</v>
      </c>
    </row>
    <row r="8" spans="1:2" x14ac:dyDescent="0.25">
      <c r="A8" s="2">
        <v>2</v>
      </c>
      <c r="B8" s="2">
        <v>4</v>
      </c>
    </row>
    <row r="9" spans="1:2" x14ac:dyDescent="0.25">
      <c r="A9" s="2">
        <v>3</v>
      </c>
      <c r="B9" s="2">
        <v>2</v>
      </c>
    </row>
    <row r="10" spans="1:2" x14ac:dyDescent="0.25">
      <c r="A10" s="2">
        <v>3</v>
      </c>
      <c r="B10" s="2">
        <v>3</v>
      </c>
    </row>
    <row r="11" spans="1:2" x14ac:dyDescent="0.25">
      <c r="A11" s="2">
        <v>3</v>
      </c>
      <c r="B11" s="2">
        <v>4</v>
      </c>
    </row>
    <row r="12" spans="1:2" x14ac:dyDescent="0.25">
      <c r="A12" s="2">
        <v>4</v>
      </c>
      <c r="B12" s="2">
        <v>2</v>
      </c>
    </row>
    <row r="13" spans="1:2" x14ac:dyDescent="0.25">
      <c r="A13" s="2">
        <v>5</v>
      </c>
      <c r="B13" s="2">
        <v>2</v>
      </c>
    </row>
    <row r="14" spans="1:2" x14ac:dyDescent="0.25">
      <c r="A14" s="2">
        <v>5</v>
      </c>
      <c r="B14" s="2">
        <v>3</v>
      </c>
    </row>
    <row r="15" spans="1:2" x14ac:dyDescent="0.25">
      <c r="A15" s="2">
        <v>5</v>
      </c>
      <c r="B15" s="2">
        <v>4</v>
      </c>
    </row>
    <row r="16" spans="1:2" x14ac:dyDescent="0.25">
      <c r="A16" s="2">
        <v>6</v>
      </c>
      <c r="B16" s="2">
        <v>5</v>
      </c>
    </row>
    <row r="17" spans="1:2" x14ac:dyDescent="0.25">
      <c r="A17" s="2">
        <v>7</v>
      </c>
      <c r="B17" s="2">
        <v>2</v>
      </c>
    </row>
    <row r="18" spans="1:2" x14ac:dyDescent="0.25">
      <c r="A18" s="2">
        <v>7</v>
      </c>
      <c r="B18" s="2">
        <v>3</v>
      </c>
    </row>
    <row r="19" spans="1:2" x14ac:dyDescent="0.25">
      <c r="A19" s="2">
        <v>7</v>
      </c>
      <c r="B19" s="2">
        <v>4</v>
      </c>
    </row>
    <row r="20" spans="1:2" x14ac:dyDescent="0.25">
      <c r="A20" s="2">
        <v>8</v>
      </c>
      <c r="B20" s="2">
        <v>2</v>
      </c>
    </row>
    <row r="21" spans="1:2" x14ac:dyDescent="0.25">
      <c r="A21" s="2">
        <v>8</v>
      </c>
      <c r="B21" s="2">
        <v>3</v>
      </c>
    </row>
    <row r="22" spans="1:2" x14ac:dyDescent="0.25">
      <c r="A22" s="2">
        <v>9</v>
      </c>
      <c r="B22" s="2">
        <v>3</v>
      </c>
    </row>
    <row r="23" spans="1:2" x14ac:dyDescent="0.25">
      <c r="A23" s="2">
        <v>9</v>
      </c>
      <c r="B23" s="2">
        <v>6</v>
      </c>
    </row>
    <row r="24" spans="1:2" x14ac:dyDescent="0.25">
      <c r="A24" s="2">
        <v>10</v>
      </c>
      <c r="B24" s="2">
        <v>3</v>
      </c>
    </row>
    <row r="25" spans="1:2" x14ac:dyDescent="0.25">
      <c r="A25" s="2">
        <v>12</v>
      </c>
      <c r="B25" s="2">
        <v>3</v>
      </c>
    </row>
    <row r="26" spans="1:2" x14ac:dyDescent="0.25">
      <c r="A26" s="2">
        <v>13</v>
      </c>
      <c r="B26" s="2">
        <v>2</v>
      </c>
    </row>
    <row r="27" spans="1:2" x14ac:dyDescent="0.25">
      <c r="A27" s="2">
        <v>13</v>
      </c>
      <c r="B27" s="2">
        <v>4</v>
      </c>
    </row>
    <row r="28" spans="1:2" x14ac:dyDescent="0.25">
      <c r="A28" s="2">
        <v>14</v>
      </c>
      <c r="B28" s="2">
        <v>3</v>
      </c>
    </row>
    <row r="29" spans="1:2" x14ac:dyDescent="0.25">
      <c r="A29" s="2">
        <v>15</v>
      </c>
      <c r="B29" s="2">
        <v>4</v>
      </c>
    </row>
    <row r="30" spans="1:2" x14ac:dyDescent="0.25">
      <c r="A30" s="2">
        <v>16</v>
      </c>
      <c r="B30" s="2">
        <v>2</v>
      </c>
    </row>
    <row r="31" spans="1:2" x14ac:dyDescent="0.25">
      <c r="A31" s="2">
        <v>16</v>
      </c>
      <c r="B31" s="2">
        <v>4</v>
      </c>
    </row>
    <row r="32" spans="1:2" x14ac:dyDescent="0.25">
      <c r="A32" s="2">
        <v>17</v>
      </c>
      <c r="B32" s="2">
        <v>2</v>
      </c>
    </row>
    <row r="33" spans="1:2" x14ac:dyDescent="0.25">
      <c r="A33" s="2">
        <v>17</v>
      </c>
      <c r="B33" s="2">
        <v>3</v>
      </c>
    </row>
    <row r="34" spans="1:2" x14ac:dyDescent="0.25">
      <c r="A34" s="2">
        <v>17</v>
      </c>
      <c r="B34" s="2">
        <v>4</v>
      </c>
    </row>
    <row r="35" spans="1:2" x14ac:dyDescent="0.25">
      <c r="A35" s="2">
        <v>18</v>
      </c>
      <c r="B35" s="2">
        <v>3</v>
      </c>
    </row>
    <row r="36" spans="1:2" x14ac:dyDescent="0.25">
      <c r="A36" s="2">
        <v>19</v>
      </c>
      <c r="B36" s="2">
        <v>2</v>
      </c>
    </row>
    <row r="37" spans="1:2" x14ac:dyDescent="0.25">
      <c r="A37" s="2">
        <v>19</v>
      </c>
      <c r="B37" s="2">
        <v>3</v>
      </c>
    </row>
    <row r="38" spans="1:2" x14ac:dyDescent="0.25">
      <c r="A38" s="2">
        <v>19</v>
      </c>
      <c r="B38" s="2">
        <v>4</v>
      </c>
    </row>
    <row r="39" spans="1:2" x14ac:dyDescent="0.25">
      <c r="A39" s="2">
        <v>19</v>
      </c>
      <c r="B39" s="2">
        <v>6</v>
      </c>
    </row>
    <row r="40" spans="1:2" x14ac:dyDescent="0.25">
      <c r="A40" s="2">
        <v>20</v>
      </c>
      <c r="B40" s="2">
        <v>3</v>
      </c>
    </row>
    <row r="41" spans="1:2" x14ac:dyDescent="0.25">
      <c r="A41" s="2">
        <v>21</v>
      </c>
      <c r="B41" s="2">
        <v>3</v>
      </c>
    </row>
    <row r="42" spans="1:2" x14ac:dyDescent="0.25">
      <c r="A42" s="2">
        <v>24</v>
      </c>
      <c r="B42" s="2">
        <v>5</v>
      </c>
    </row>
    <row r="43" spans="1:2" x14ac:dyDescent="0.25">
      <c r="A43" s="2">
        <v>24</v>
      </c>
      <c r="B43" s="2">
        <v>2</v>
      </c>
    </row>
    <row r="44" spans="1:2" x14ac:dyDescent="0.25">
      <c r="A44" s="2">
        <v>24</v>
      </c>
      <c r="B44" s="2">
        <v>3</v>
      </c>
    </row>
    <row r="45" spans="1:2" x14ac:dyDescent="0.25">
      <c r="A45" s="2">
        <v>24</v>
      </c>
      <c r="B45" s="2">
        <v>4</v>
      </c>
    </row>
    <row r="46" spans="1:2" x14ac:dyDescent="0.25">
      <c r="A46" s="2">
        <v>25</v>
      </c>
      <c r="B46" s="2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5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2" width="11" customWidth="1"/>
  </cols>
  <sheetData>
    <row r="1" spans="1:2" ht="30" customHeight="1" x14ac:dyDescent="0.25">
      <c r="A1" s="7" t="s">
        <v>0</v>
      </c>
      <c r="B1" s="7" t="s">
        <v>340</v>
      </c>
    </row>
    <row r="2" spans="1:2" x14ac:dyDescent="0.25">
      <c r="A2" s="2">
        <v>1</v>
      </c>
      <c r="B2" s="2">
        <v>1</v>
      </c>
    </row>
    <row r="3" spans="1:2" x14ac:dyDescent="0.25">
      <c r="A3" s="2">
        <v>1</v>
      </c>
      <c r="B3" s="2">
        <v>2</v>
      </c>
    </row>
    <row r="4" spans="1:2" x14ac:dyDescent="0.25">
      <c r="A4" s="2">
        <v>1</v>
      </c>
      <c r="B4" s="2">
        <v>3</v>
      </c>
    </row>
    <row r="5" spans="1:2" x14ac:dyDescent="0.25">
      <c r="A5" s="2">
        <v>2</v>
      </c>
      <c r="B5" s="2">
        <v>2</v>
      </c>
    </row>
    <row r="6" spans="1:2" x14ac:dyDescent="0.25">
      <c r="A6" s="2">
        <v>3</v>
      </c>
      <c r="B6" s="2">
        <v>1</v>
      </c>
    </row>
    <row r="7" spans="1:2" x14ac:dyDescent="0.25">
      <c r="A7" s="2">
        <v>3</v>
      </c>
      <c r="B7" s="2">
        <v>3</v>
      </c>
    </row>
    <row r="8" spans="1:2" x14ac:dyDescent="0.25">
      <c r="A8" s="2">
        <v>4</v>
      </c>
      <c r="B8" s="2">
        <v>2</v>
      </c>
    </row>
    <row r="9" spans="1:2" x14ac:dyDescent="0.25">
      <c r="A9" s="2">
        <v>4</v>
      </c>
      <c r="B9" s="2">
        <v>3</v>
      </c>
    </row>
    <row r="10" spans="1:2" x14ac:dyDescent="0.25">
      <c r="A10" s="2">
        <v>5</v>
      </c>
      <c r="B10" s="2">
        <v>1</v>
      </c>
    </row>
    <row r="11" spans="1:2" x14ac:dyDescent="0.25">
      <c r="A11" s="2">
        <v>5</v>
      </c>
      <c r="B11" s="2">
        <v>2</v>
      </c>
    </row>
    <row r="12" spans="1:2" x14ac:dyDescent="0.25">
      <c r="A12" s="2">
        <v>5</v>
      </c>
      <c r="B12" s="2">
        <v>3</v>
      </c>
    </row>
    <row r="13" spans="1:2" x14ac:dyDescent="0.25">
      <c r="A13" s="2">
        <v>6</v>
      </c>
      <c r="B13" s="2">
        <v>2</v>
      </c>
    </row>
    <row r="14" spans="1:2" x14ac:dyDescent="0.25">
      <c r="A14" s="2">
        <v>6</v>
      </c>
      <c r="B14" s="2">
        <v>3</v>
      </c>
    </row>
    <row r="15" spans="1:2" x14ac:dyDescent="0.25">
      <c r="A15" s="2">
        <v>7</v>
      </c>
      <c r="B15" s="2">
        <v>1</v>
      </c>
    </row>
    <row r="16" spans="1:2" x14ac:dyDescent="0.25">
      <c r="A16" s="2">
        <v>7</v>
      </c>
      <c r="B16" s="2">
        <v>2</v>
      </c>
    </row>
    <row r="17" spans="1:2" x14ac:dyDescent="0.25">
      <c r="A17" s="2">
        <v>7</v>
      </c>
      <c r="B17" s="2">
        <v>3</v>
      </c>
    </row>
    <row r="18" spans="1:2" x14ac:dyDescent="0.25">
      <c r="A18" s="2">
        <v>8</v>
      </c>
      <c r="B18" s="2">
        <v>2</v>
      </c>
    </row>
    <row r="19" spans="1:2" x14ac:dyDescent="0.25">
      <c r="A19" s="2">
        <v>9</v>
      </c>
      <c r="B19" s="2">
        <v>1</v>
      </c>
    </row>
    <row r="20" spans="1:2" x14ac:dyDescent="0.25">
      <c r="A20" s="2">
        <v>9</v>
      </c>
      <c r="B20" s="2">
        <v>3</v>
      </c>
    </row>
    <row r="21" spans="1:2" x14ac:dyDescent="0.25">
      <c r="A21" s="2">
        <v>10</v>
      </c>
      <c r="B21" s="2">
        <v>2</v>
      </c>
    </row>
    <row r="22" spans="1:2" x14ac:dyDescent="0.25">
      <c r="A22" s="2">
        <v>10</v>
      </c>
      <c r="B22" s="2">
        <v>3</v>
      </c>
    </row>
    <row r="23" spans="1:2" x14ac:dyDescent="0.25">
      <c r="A23" s="2">
        <v>12</v>
      </c>
      <c r="B23" s="2">
        <v>1</v>
      </c>
    </row>
    <row r="24" spans="1:2" x14ac:dyDescent="0.25">
      <c r="A24" s="2">
        <v>12</v>
      </c>
      <c r="B24" s="2">
        <v>2</v>
      </c>
    </row>
    <row r="25" spans="1:2" x14ac:dyDescent="0.25">
      <c r="A25" s="2">
        <v>12</v>
      </c>
      <c r="B25" s="2">
        <v>3</v>
      </c>
    </row>
    <row r="26" spans="1:2" x14ac:dyDescent="0.25">
      <c r="A26" s="2">
        <v>13</v>
      </c>
      <c r="B26" s="2">
        <v>1</v>
      </c>
    </row>
    <row r="27" spans="1:2" x14ac:dyDescent="0.25">
      <c r="A27" s="2">
        <v>13</v>
      </c>
      <c r="B27" s="2">
        <v>2</v>
      </c>
    </row>
    <row r="28" spans="1:2" x14ac:dyDescent="0.25">
      <c r="A28" s="2">
        <v>13</v>
      </c>
      <c r="B28" s="2">
        <v>3</v>
      </c>
    </row>
    <row r="29" spans="1:2" x14ac:dyDescent="0.25">
      <c r="A29" s="2">
        <v>14</v>
      </c>
      <c r="B29" s="2">
        <v>1</v>
      </c>
    </row>
    <row r="30" spans="1:2" x14ac:dyDescent="0.25">
      <c r="A30" s="2">
        <v>14</v>
      </c>
      <c r="B30" s="2">
        <v>2</v>
      </c>
    </row>
    <row r="31" spans="1:2" x14ac:dyDescent="0.25">
      <c r="A31" s="2">
        <v>15</v>
      </c>
      <c r="B31" s="2">
        <v>1</v>
      </c>
    </row>
    <row r="32" spans="1:2" x14ac:dyDescent="0.25">
      <c r="A32" s="2">
        <v>15</v>
      </c>
      <c r="B32" s="2">
        <v>2</v>
      </c>
    </row>
    <row r="33" spans="1:2" x14ac:dyDescent="0.25">
      <c r="A33" s="2">
        <v>15</v>
      </c>
      <c r="B33" s="2">
        <v>3</v>
      </c>
    </row>
    <row r="34" spans="1:2" x14ac:dyDescent="0.25">
      <c r="A34" s="2">
        <v>16</v>
      </c>
      <c r="B34" s="2">
        <v>1</v>
      </c>
    </row>
    <row r="35" spans="1:2" x14ac:dyDescent="0.25">
      <c r="A35" s="2">
        <v>16</v>
      </c>
      <c r="B35" s="2">
        <v>2</v>
      </c>
    </row>
    <row r="36" spans="1:2" x14ac:dyDescent="0.25">
      <c r="A36" s="2">
        <v>16</v>
      </c>
      <c r="B36" s="2">
        <v>3</v>
      </c>
    </row>
    <row r="37" spans="1:2" x14ac:dyDescent="0.25">
      <c r="A37" s="2">
        <v>17</v>
      </c>
      <c r="B37" s="2">
        <v>2</v>
      </c>
    </row>
    <row r="38" spans="1:2" x14ac:dyDescent="0.25">
      <c r="A38" s="2">
        <v>18</v>
      </c>
      <c r="B38" s="2">
        <v>2</v>
      </c>
    </row>
    <row r="39" spans="1:2" x14ac:dyDescent="0.25">
      <c r="A39" s="2">
        <v>18</v>
      </c>
      <c r="B39" s="2">
        <v>3</v>
      </c>
    </row>
    <row r="40" spans="1:2" x14ac:dyDescent="0.25">
      <c r="A40" s="2">
        <v>19</v>
      </c>
      <c r="B40" s="2">
        <v>2</v>
      </c>
    </row>
    <row r="41" spans="1:2" x14ac:dyDescent="0.25">
      <c r="A41" s="2">
        <v>20</v>
      </c>
      <c r="B41" s="2">
        <v>2</v>
      </c>
    </row>
    <row r="42" spans="1:2" x14ac:dyDescent="0.25">
      <c r="A42" s="2">
        <v>20</v>
      </c>
      <c r="B42" s="2">
        <v>3</v>
      </c>
    </row>
    <row r="43" spans="1:2" x14ac:dyDescent="0.25">
      <c r="A43" s="2">
        <v>21</v>
      </c>
      <c r="B43" s="2">
        <v>2</v>
      </c>
    </row>
    <row r="44" spans="1:2" x14ac:dyDescent="0.25">
      <c r="A44" s="2">
        <v>22</v>
      </c>
      <c r="B44" s="2">
        <v>1</v>
      </c>
    </row>
    <row r="45" spans="1:2" x14ac:dyDescent="0.25">
      <c r="A45" s="2">
        <v>22</v>
      </c>
      <c r="B45" s="2">
        <v>2</v>
      </c>
    </row>
    <row r="46" spans="1:2" x14ac:dyDescent="0.25">
      <c r="A46" s="2">
        <v>22</v>
      </c>
      <c r="B46" s="2">
        <v>3</v>
      </c>
    </row>
    <row r="47" spans="1:2" x14ac:dyDescent="0.25">
      <c r="A47" s="2">
        <v>24</v>
      </c>
      <c r="B47" s="2">
        <v>1</v>
      </c>
    </row>
    <row r="48" spans="1:2" x14ac:dyDescent="0.25">
      <c r="A48" s="2">
        <v>24</v>
      </c>
      <c r="B48" s="2">
        <v>2</v>
      </c>
    </row>
    <row r="49" spans="1:2" x14ac:dyDescent="0.25">
      <c r="A49" s="2">
        <v>25</v>
      </c>
      <c r="B49" s="2">
        <v>1</v>
      </c>
    </row>
    <row r="50" spans="1:2" x14ac:dyDescent="0.25">
      <c r="A50" s="2">
        <v>25</v>
      </c>
      <c r="B50" s="2">
        <v>2</v>
      </c>
    </row>
    <row r="51" spans="1:2" x14ac:dyDescent="0.25">
      <c r="A51" s="2">
        <v>25</v>
      </c>
      <c r="B51" s="2">
        <v>3</v>
      </c>
    </row>
    <row r="52" spans="1:2" x14ac:dyDescent="0.25">
      <c r="A52" s="2">
        <v>26</v>
      </c>
      <c r="B52" s="2">
        <v>1</v>
      </c>
    </row>
    <row r="53" spans="1:2" x14ac:dyDescent="0.25">
      <c r="A53" s="2">
        <v>26</v>
      </c>
      <c r="B53" s="2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25" customWidth="1"/>
    <col min="2" max="2" width="14" customWidth="1"/>
    <col min="3" max="3" width="24" customWidth="1"/>
    <col min="4" max="4" width="16" customWidth="1"/>
  </cols>
  <sheetData>
    <row r="1" spans="1:4" ht="30" customHeight="1" x14ac:dyDescent="0.25">
      <c r="A1" s="8" t="s">
        <v>406</v>
      </c>
      <c r="B1" s="8" t="s">
        <v>407</v>
      </c>
      <c r="C1" s="8" t="s">
        <v>408</v>
      </c>
      <c r="D1" s="8" t="s">
        <v>409</v>
      </c>
    </row>
    <row r="2" spans="1:4" x14ac:dyDescent="0.25">
      <c r="A2" s="2" t="s">
        <v>410</v>
      </c>
      <c r="B2" s="2" t="s">
        <v>411</v>
      </c>
      <c r="C2" s="2" t="s">
        <v>0</v>
      </c>
      <c r="D2" s="2" t="s">
        <v>412</v>
      </c>
    </row>
    <row r="3" spans="1:4" x14ac:dyDescent="0.25">
      <c r="A3" s="2" t="s">
        <v>410</v>
      </c>
      <c r="B3" s="2" t="s">
        <v>411</v>
      </c>
      <c r="C3" s="2" t="s">
        <v>1</v>
      </c>
      <c r="D3" s="2" t="s">
        <v>413</v>
      </c>
    </row>
    <row r="4" spans="1:4" x14ac:dyDescent="0.25">
      <c r="A4" s="2" t="s">
        <v>410</v>
      </c>
      <c r="B4" s="2" t="s">
        <v>411</v>
      </c>
      <c r="C4" s="2" t="s">
        <v>2</v>
      </c>
      <c r="D4" s="2" t="s">
        <v>414</v>
      </c>
    </row>
    <row r="5" spans="1:4" x14ac:dyDescent="0.25">
      <c r="A5" s="2" t="s">
        <v>410</v>
      </c>
      <c r="B5" s="2" t="s">
        <v>411</v>
      </c>
      <c r="C5" s="2" t="s">
        <v>3</v>
      </c>
      <c r="D5" s="2" t="s">
        <v>413</v>
      </c>
    </row>
    <row r="6" spans="1:4" x14ac:dyDescent="0.25">
      <c r="A6" s="2" t="s">
        <v>410</v>
      </c>
      <c r="B6" s="2" t="s">
        <v>411</v>
      </c>
      <c r="C6" s="2" t="s">
        <v>4</v>
      </c>
      <c r="D6" s="2" t="s">
        <v>413</v>
      </c>
    </row>
    <row r="7" spans="1:4" x14ac:dyDescent="0.25">
      <c r="A7" s="2" t="s">
        <v>410</v>
      </c>
      <c r="B7" s="2" t="s">
        <v>411</v>
      </c>
      <c r="C7" s="2" t="s">
        <v>5</v>
      </c>
      <c r="D7" s="2" t="s">
        <v>413</v>
      </c>
    </row>
    <row r="8" spans="1:4" x14ac:dyDescent="0.25">
      <c r="A8" s="2" t="s">
        <v>410</v>
      </c>
      <c r="B8" s="2" t="s">
        <v>411</v>
      </c>
      <c r="C8" s="2" t="s">
        <v>6</v>
      </c>
      <c r="D8" s="2" t="s">
        <v>413</v>
      </c>
    </row>
    <row r="9" spans="1:4" x14ac:dyDescent="0.25">
      <c r="A9" s="2" t="s">
        <v>410</v>
      </c>
      <c r="B9" s="2" t="s">
        <v>411</v>
      </c>
      <c r="C9" s="2" t="s">
        <v>7</v>
      </c>
      <c r="D9" s="2" t="s">
        <v>413</v>
      </c>
    </row>
    <row r="10" spans="1:4" x14ac:dyDescent="0.25">
      <c r="A10" s="2" t="s">
        <v>410</v>
      </c>
      <c r="B10" s="2" t="s">
        <v>411</v>
      </c>
      <c r="C10" s="2" t="s">
        <v>8</v>
      </c>
      <c r="D10" s="2" t="s">
        <v>415</v>
      </c>
    </row>
    <row r="11" spans="1:4" x14ac:dyDescent="0.25">
      <c r="A11" s="2" t="s">
        <v>410</v>
      </c>
      <c r="B11" s="2" t="s">
        <v>411</v>
      </c>
      <c r="C11" s="2" t="s">
        <v>9</v>
      </c>
      <c r="D11" s="2" t="s">
        <v>413</v>
      </c>
    </row>
    <row r="12" spans="1:4" x14ac:dyDescent="0.25">
      <c r="A12" s="2" t="s">
        <v>410</v>
      </c>
      <c r="B12" s="2" t="s">
        <v>411</v>
      </c>
      <c r="C12" s="2" t="s">
        <v>10</v>
      </c>
      <c r="D12" s="2" t="s">
        <v>413</v>
      </c>
    </row>
    <row r="13" spans="1:4" x14ac:dyDescent="0.25">
      <c r="A13" s="2" t="s">
        <v>410</v>
      </c>
      <c r="B13" s="2" t="s">
        <v>411</v>
      </c>
      <c r="C13" s="2" t="s">
        <v>11</v>
      </c>
      <c r="D13" s="2" t="s">
        <v>415</v>
      </c>
    </row>
    <row r="14" spans="1:4" x14ac:dyDescent="0.25">
      <c r="A14" s="2" t="s">
        <v>410</v>
      </c>
      <c r="B14" s="2" t="s">
        <v>411</v>
      </c>
      <c r="C14" s="2" t="s">
        <v>12</v>
      </c>
      <c r="D14" s="2" t="s">
        <v>413</v>
      </c>
    </row>
    <row r="15" spans="1:4" x14ac:dyDescent="0.25">
      <c r="A15" s="2" t="s">
        <v>410</v>
      </c>
      <c r="B15" s="2" t="s">
        <v>411</v>
      </c>
      <c r="C15" s="2" t="s">
        <v>13</v>
      </c>
      <c r="D15" s="2" t="s">
        <v>415</v>
      </c>
    </row>
    <row r="16" spans="1:4" x14ac:dyDescent="0.25">
      <c r="A16" s="2" t="s">
        <v>410</v>
      </c>
      <c r="B16" s="2" t="s">
        <v>411</v>
      </c>
      <c r="C16" s="2" t="s">
        <v>14</v>
      </c>
      <c r="D16" s="2" t="s">
        <v>413</v>
      </c>
    </row>
    <row r="17" spans="1:4" x14ac:dyDescent="0.25">
      <c r="A17" s="2" t="s">
        <v>410</v>
      </c>
      <c r="B17" s="2" t="s">
        <v>411</v>
      </c>
      <c r="C17" s="2" t="s">
        <v>15</v>
      </c>
      <c r="D17" s="2" t="s">
        <v>415</v>
      </c>
    </row>
    <row r="18" spans="1:4" x14ac:dyDescent="0.25">
      <c r="A18" s="2" t="s">
        <v>410</v>
      </c>
      <c r="B18" s="2" t="s">
        <v>411</v>
      </c>
      <c r="C18" s="2" t="s">
        <v>16</v>
      </c>
      <c r="D18" s="2" t="s">
        <v>413</v>
      </c>
    </row>
    <row r="19" spans="1:4" x14ac:dyDescent="0.25">
      <c r="A19" s="2" t="s">
        <v>410</v>
      </c>
      <c r="B19" s="2" t="s">
        <v>411</v>
      </c>
      <c r="C19" s="2" t="s">
        <v>17</v>
      </c>
      <c r="D19" s="2" t="s">
        <v>415</v>
      </c>
    </row>
    <row r="20" spans="1:4" x14ac:dyDescent="0.25">
      <c r="A20" s="2" t="s">
        <v>410</v>
      </c>
      <c r="B20" s="2" t="s">
        <v>411</v>
      </c>
      <c r="C20" s="2" t="s">
        <v>18</v>
      </c>
      <c r="D20" s="2" t="s">
        <v>413</v>
      </c>
    </row>
    <row r="21" spans="1:4" x14ac:dyDescent="0.25">
      <c r="A21" s="2" t="s">
        <v>410</v>
      </c>
      <c r="B21" s="2" t="s">
        <v>411</v>
      </c>
      <c r="C21" s="2" t="s">
        <v>19</v>
      </c>
      <c r="D21" s="2" t="s">
        <v>415</v>
      </c>
    </row>
    <row r="22" spans="1:4" x14ac:dyDescent="0.25">
      <c r="A22" s="2" t="s">
        <v>410</v>
      </c>
      <c r="B22" s="2" t="s">
        <v>411</v>
      </c>
      <c r="C22" s="2" t="s">
        <v>20</v>
      </c>
      <c r="D22" s="2" t="s">
        <v>415</v>
      </c>
    </row>
    <row r="23" spans="1:4" x14ac:dyDescent="0.25">
      <c r="A23" s="2" t="s">
        <v>410</v>
      </c>
      <c r="B23" s="2" t="s">
        <v>411</v>
      </c>
      <c r="C23" s="2" t="s">
        <v>21</v>
      </c>
      <c r="D23" s="2" t="s">
        <v>415</v>
      </c>
    </row>
    <row r="24" spans="1:4" x14ac:dyDescent="0.25">
      <c r="A24" s="2" t="s">
        <v>410</v>
      </c>
      <c r="B24" s="2" t="s">
        <v>411</v>
      </c>
      <c r="C24" s="2" t="s">
        <v>22</v>
      </c>
      <c r="D24" s="2" t="s">
        <v>413</v>
      </c>
    </row>
    <row r="25" spans="1:4" x14ac:dyDescent="0.25">
      <c r="A25" s="2" t="s">
        <v>410</v>
      </c>
      <c r="B25" s="2" t="s">
        <v>411</v>
      </c>
      <c r="C25" s="2" t="s">
        <v>23</v>
      </c>
      <c r="D25" s="2" t="s">
        <v>413</v>
      </c>
    </row>
    <row r="26" spans="1:4" x14ac:dyDescent="0.25">
      <c r="A26" s="2" t="s">
        <v>416</v>
      </c>
      <c r="B26" s="2" t="s">
        <v>411</v>
      </c>
      <c r="C26" s="2" t="s">
        <v>2</v>
      </c>
      <c r="D26" s="2" t="s">
        <v>414</v>
      </c>
    </row>
    <row r="27" spans="1:4" x14ac:dyDescent="0.25">
      <c r="A27" s="2" t="s">
        <v>416</v>
      </c>
      <c r="B27" s="2" t="s">
        <v>411</v>
      </c>
      <c r="C27" s="2" t="s">
        <v>280</v>
      </c>
      <c r="D27" s="2" t="s">
        <v>413</v>
      </c>
    </row>
    <row r="28" spans="1:4" x14ac:dyDescent="0.25">
      <c r="A28" s="2" t="s">
        <v>416</v>
      </c>
      <c r="B28" s="2" t="s">
        <v>411</v>
      </c>
      <c r="C28" s="2" t="s">
        <v>281</v>
      </c>
      <c r="D28" s="2" t="s">
        <v>413</v>
      </c>
    </row>
    <row r="29" spans="1:4" x14ac:dyDescent="0.25">
      <c r="A29" s="2" t="s">
        <v>417</v>
      </c>
      <c r="B29" s="2" t="s">
        <v>411</v>
      </c>
      <c r="C29" s="2" t="s">
        <v>294</v>
      </c>
      <c r="D29" s="2" t="s">
        <v>414</v>
      </c>
    </row>
    <row r="30" spans="1:4" x14ac:dyDescent="0.25">
      <c r="A30" s="2" t="s">
        <v>417</v>
      </c>
      <c r="B30" s="2" t="s">
        <v>411</v>
      </c>
      <c r="C30" s="2" t="s">
        <v>295</v>
      </c>
      <c r="D30" s="2" t="s">
        <v>418</v>
      </c>
    </row>
    <row r="31" spans="1:4" x14ac:dyDescent="0.25">
      <c r="A31" s="2" t="s">
        <v>417</v>
      </c>
      <c r="B31" s="2" t="s">
        <v>411</v>
      </c>
      <c r="C31" s="2" t="s">
        <v>296</v>
      </c>
      <c r="D31" s="2" t="s">
        <v>419</v>
      </c>
    </row>
    <row r="32" spans="1:4" x14ac:dyDescent="0.25">
      <c r="A32" s="2" t="s">
        <v>417</v>
      </c>
      <c r="B32" s="2" t="s">
        <v>411</v>
      </c>
      <c r="C32" s="2" t="s">
        <v>297</v>
      </c>
      <c r="D32" s="2" t="s">
        <v>419</v>
      </c>
    </row>
    <row r="33" spans="1:4" x14ac:dyDescent="0.25">
      <c r="A33" s="2" t="s">
        <v>417</v>
      </c>
      <c r="B33" s="2" t="s">
        <v>411</v>
      </c>
      <c r="C33" s="2" t="s">
        <v>298</v>
      </c>
      <c r="D33" s="2" t="s">
        <v>413</v>
      </c>
    </row>
    <row r="34" spans="1:4" x14ac:dyDescent="0.25">
      <c r="A34" s="2" t="s">
        <v>417</v>
      </c>
      <c r="B34" s="2" t="s">
        <v>411</v>
      </c>
      <c r="C34" s="2" t="s">
        <v>299</v>
      </c>
      <c r="D34" s="2" t="s">
        <v>413</v>
      </c>
    </row>
    <row r="35" spans="1:4" x14ac:dyDescent="0.25">
      <c r="A35" s="2" t="s">
        <v>417</v>
      </c>
      <c r="B35" s="2" t="s">
        <v>411</v>
      </c>
      <c r="C35" s="2" t="s">
        <v>300</v>
      </c>
      <c r="D35" s="2" t="s">
        <v>419</v>
      </c>
    </row>
    <row r="36" spans="1:4" x14ac:dyDescent="0.25">
      <c r="A36" s="2" t="s">
        <v>417</v>
      </c>
      <c r="B36" s="2" t="s">
        <v>411</v>
      </c>
      <c r="C36" s="2" t="s">
        <v>301</v>
      </c>
      <c r="D36" s="2" t="s">
        <v>413</v>
      </c>
    </row>
    <row r="37" spans="1:4" x14ac:dyDescent="0.25">
      <c r="A37" s="2" t="s">
        <v>420</v>
      </c>
      <c r="B37" s="2" t="s">
        <v>411</v>
      </c>
      <c r="C37" s="2" t="s">
        <v>306</v>
      </c>
      <c r="D37" s="2" t="s">
        <v>414</v>
      </c>
    </row>
    <row r="38" spans="1:4" x14ac:dyDescent="0.25">
      <c r="A38" s="2" t="s">
        <v>420</v>
      </c>
      <c r="B38" s="2" t="s">
        <v>411</v>
      </c>
      <c r="C38" s="2" t="s">
        <v>307</v>
      </c>
      <c r="D38" s="2" t="s">
        <v>413</v>
      </c>
    </row>
    <row r="39" spans="1:4" x14ac:dyDescent="0.25">
      <c r="A39" s="2" t="s">
        <v>421</v>
      </c>
      <c r="B39" s="2" t="s">
        <v>411</v>
      </c>
      <c r="C39" s="2" t="s">
        <v>312</v>
      </c>
      <c r="D39" s="2" t="s">
        <v>414</v>
      </c>
    </row>
    <row r="40" spans="1:4" x14ac:dyDescent="0.25">
      <c r="A40" s="2" t="s">
        <v>421</v>
      </c>
      <c r="B40" s="2" t="s">
        <v>411</v>
      </c>
      <c r="C40" s="2" t="s">
        <v>313</v>
      </c>
      <c r="D40" s="2" t="s">
        <v>413</v>
      </c>
    </row>
    <row r="41" spans="1:4" x14ac:dyDescent="0.25">
      <c r="A41" s="2" t="s">
        <v>422</v>
      </c>
      <c r="B41" s="2" t="s">
        <v>411</v>
      </c>
      <c r="C41" s="2" t="s">
        <v>332</v>
      </c>
      <c r="D41" s="2" t="s">
        <v>414</v>
      </c>
    </row>
    <row r="42" spans="1:4" x14ac:dyDescent="0.25">
      <c r="A42" s="2" t="s">
        <v>422</v>
      </c>
      <c r="B42" s="2" t="s">
        <v>411</v>
      </c>
      <c r="C42" s="2" t="s">
        <v>333</v>
      </c>
      <c r="D42" s="2" t="s">
        <v>413</v>
      </c>
    </row>
    <row r="43" spans="1:4" x14ac:dyDescent="0.25">
      <c r="A43" s="2" t="s">
        <v>423</v>
      </c>
      <c r="B43" s="2" t="s">
        <v>411</v>
      </c>
      <c r="C43" s="2" t="s">
        <v>340</v>
      </c>
      <c r="D43" s="2" t="s">
        <v>414</v>
      </c>
    </row>
    <row r="44" spans="1:4" x14ac:dyDescent="0.25">
      <c r="A44" s="2" t="s">
        <v>423</v>
      </c>
      <c r="B44" s="2" t="s">
        <v>411</v>
      </c>
      <c r="C44" s="2" t="s">
        <v>341</v>
      </c>
      <c r="D44" s="2" t="s">
        <v>413</v>
      </c>
    </row>
    <row r="45" spans="1:4" x14ac:dyDescent="0.25">
      <c r="A45" s="2" t="s">
        <v>424</v>
      </c>
      <c r="B45" s="2" t="s">
        <v>411</v>
      </c>
      <c r="C45" s="2" t="s">
        <v>345</v>
      </c>
      <c r="D45" s="2" t="s">
        <v>414</v>
      </c>
    </row>
    <row r="46" spans="1:4" x14ac:dyDescent="0.25">
      <c r="A46" s="2" t="s">
        <v>424</v>
      </c>
      <c r="B46" s="2" t="s">
        <v>411</v>
      </c>
      <c r="C46" s="2" t="s">
        <v>346</v>
      </c>
      <c r="D46" s="2" t="s">
        <v>419</v>
      </c>
    </row>
    <row r="47" spans="1:4" x14ac:dyDescent="0.25">
      <c r="A47" s="2" t="s">
        <v>424</v>
      </c>
      <c r="B47" s="2" t="s">
        <v>411</v>
      </c>
      <c r="C47" s="2" t="s">
        <v>347</v>
      </c>
      <c r="D47" s="2" t="s">
        <v>413</v>
      </c>
    </row>
    <row r="48" spans="1:4" x14ac:dyDescent="0.25">
      <c r="A48" s="2" t="s">
        <v>425</v>
      </c>
      <c r="B48" s="2" t="s">
        <v>426</v>
      </c>
      <c r="C48" s="2" t="s">
        <v>0</v>
      </c>
      <c r="D48" s="2" t="s">
        <v>412</v>
      </c>
    </row>
    <row r="49" spans="1:4" x14ac:dyDescent="0.25">
      <c r="A49" s="2" t="s">
        <v>425</v>
      </c>
      <c r="B49" s="2" t="s">
        <v>426</v>
      </c>
      <c r="C49" s="2" t="s">
        <v>2</v>
      </c>
      <c r="D49" s="2" t="s">
        <v>414</v>
      </c>
    </row>
    <row r="50" spans="1:4" x14ac:dyDescent="0.25">
      <c r="A50" s="2" t="s">
        <v>425</v>
      </c>
      <c r="B50" s="2" t="s">
        <v>426</v>
      </c>
      <c r="C50" s="2" t="s">
        <v>294</v>
      </c>
      <c r="D50" s="2" t="s">
        <v>414</v>
      </c>
    </row>
    <row r="51" spans="1:4" x14ac:dyDescent="0.25">
      <c r="A51" s="2" t="s">
        <v>425</v>
      </c>
      <c r="B51" s="2" t="s">
        <v>426</v>
      </c>
      <c r="C51" s="2" t="s">
        <v>354</v>
      </c>
      <c r="D51" s="2" t="s">
        <v>427</v>
      </c>
    </row>
    <row r="52" spans="1:4" x14ac:dyDescent="0.25">
      <c r="A52" s="2" t="s">
        <v>425</v>
      </c>
      <c r="B52" s="2" t="s">
        <v>426</v>
      </c>
      <c r="C52" s="2" t="s">
        <v>355</v>
      </c>
      <c r="D52" s="2" t="s">
        <v>427</v>
      </c>
    </row>
    <row r="53" spans="1:4" x14ac:dyDescent="0.25">
      <c r="A53" s="2" t="s">
        <v>425</v>
      </c>
      <c r="B53" s="2" t="s">
        <v>426</v>
      </c>
      <c r="C53" s="2" t="s">
        <v>356</v>
      </c>
      <c r="D53" s="2" t="s">
        <v>415</v>
      </c>
    </row>
    <row r="54" spans="1:4" x14ac:dyDescent="0.25">
      <c r="A54" s="2" t="s">
        <v>425</v>
      </c>
      <c r="B54" s="2" t="s">
        <v>426</v>
      </c>
      <c r="C54" s="2" t="s">
        <v>357</v>
      </c>
      <c r="D54" s="2" t="s">
        <v>428</v>
      </c>
    </row>
    <row r="55" spans="1:4" x14ac:dyDescent="0.25">
      <c r="A55" s="2" t="s">
        <v>425</v>
      </c>
      <c r="B55" s="2" t="s">
        <v>426</v>
      </c>
      <c r="C55" s="2" t="s">
        <v>358</v>
      </c>
      <c r="D55" s="2" t="s">
        <v>428</v>
      </c>
    </row>
    <row r="56" spans="1:4" x14ac:dyDescent="0.25">
      <c r="A56" s="2" t="s">
        <v>425</v>
      </c>
      <c r="B56" s="2" t="s">
        <v>426</v>
      </c>
      <c r="C56" s="2" t="s">
        <v>359</v>
      </c>
      <c r="D56" s="2" t="s">
        <v>413</v>
      </c>
    </row>
    <row r="57" spans="1:4" x14ac:dyDescent="0.25">
      <c r="A57" s="2" t="s">
        <v>425</v>
      </c>
      <c r="B57" s="2" t="s">
        <v>426</v>
      </c>
      <c r="C57" s="2" t="s">
        <v>360</v>
      </c>
      <c r="D57" s="2" t="s">
        <v>415</v>
      </c>
    </row>
    <row r="58" spans="1:4" x14ac:dyDescent="0.25">
      <c r="A58" s="2" t="s">
        <v>425</v>
      </c>
      <c r="B58" s="2" t="s">
        <v>426</v>
      </c>
      <c r="C58" s="2" t="s">
        <v>361</v>
      </c>
      <c r="D58" s="2" t="s">
        <v>427</v>
      </c>
    </row>
    <row r="59" spans="1:4" x14ac:dyDescent="0.25">
      <c r="A59" s="2" t="s">
        <v>425</v>
      </c>
      <c r="B59" s="2" t="s">
        <v>426</v>
      </c>
      <c r="C59" s="2" t="s">
        <v>362</v>
      </c>
      <c r="D59" s="2" t="s">
        <v>427</v>
      </c>
    </row>
    <row r="60" spans="1:4" x14ac:dyDescent="0.25">
      <c r="A60" s="2" t="s">
        <v>425</v>
      </c>
      <c r="B60" s="2" t="s">
        <v>426</v>
      </c>
      <c r="C60" s="2" t="s">
        <v>363</v>
      </c>
      <c r="D60" s="2" t="s">
        <v>413</v>
      </c>
    </row>
    <row r="61" spans="1:4" x14ac:dyDescent="0.25">
      <c r="A61" s="2" t="s">
        <v>425</v>
      </c>
      <c r="B61" s="2" t="s">
        <v>426</v>
      </c>
      <c r="C61" s="2" t="s">
        <v>364</v>
      </c>
      <c r="D61" s="2" t="s">
        <v>413</v>
      </c>
    </row>
    <row r="62" spans="1:4" x14ac:dyDescent="0.25">
      <c r="A62" s="2" t="s">
        <v>429</v>
      </c>
      <c r="B62" s="2" t="s">
        <v>426</v>
      </c>
      <c r="C62" s="2" t="s">
        <v>0</v>
      </c>
      <c r="D62" s="2" t="s">
        <v>412</v>
      </c>
    </row>
    <row r="63" spans="1:4" x14ac:dyDescent="0.25">
      <c r="A63" s="2" t="s">
        <v>429</v>
      </c>
      <c r="B63" s="2" t="s">
        <v>426</v>
      </c>
      <c r="C63" s="2" t="s">
        <v>306</v>
      </c>
      <c r="D63" s="2" t="s">
        <v>414</v>
      </c>
    </row>
    <row r="64" spans="1:4" x14ac:dyDescent="0.25">
      <c r="A64" s="2" t="s">
        <v>429</v>
      </c>
      <c r="B64" s="2" t="s">
        <v>426</v>
      </c>
      <c r="C64" s="2" t="s">
        <v>294</v>
      </c>
      <c r="D64" s="2" t="s">
        <v>414</v>
      </c>
    </row>
    <row r="65" spans="1:4" x14ac:dyDescent="0.25">
      <c r="A65" s="2" t="s">
        <v>429</v>
      </c>
      <c r="B65" s="2" t="s">
        <v>426</v>
      </c>
      <c r="C65" s="2" t="s">
        <v>402</v>
      </c>
      <c r="D65" s="2" t="s">
        <v>419</v>
      </c>
    </row>
    <row r="66" spans="1:4" x14ac:dyDescent="0.25">
      <c r="A66" s="2" t="s">
        <v>430</v>
      </c>
      <c r="B66" s="2" t="s">
        <v>426</v>
      </c>
      <c r="C66" s="2" t="s">
        <v>0</v>
      </c>
      <c r="D66" s="2" t="s">
        <v>412</v>
      </c>
    </row>
    <row r="67" spans="1:4" x14ac:dyDescent="0.25">
      <c r="A67" s="2" t="s">
        <v>430</v>
      </c>
      <c r="B67" s="2" t="s">
        <v>426</v>
      </c>
      <c r="C67" s="2" t="s">
        <v>403</v>
      </c>
      <c r="D67" s="2" t="s">
        <v>413</v>
      </c>
    </row>
    <row r="68" spans="1:4" x14ac:dyDescent="0.25">
      <c r="A68" s="2" t="s">
        <v>430</v>
      </c>
      <c r="B68" s="2" t="s">
        <v>426</v>
      </c>
      <c r="C68" s="2" t="s">
        <v>404</v>
      </c>
      <c r="D68" s="2" t="s">
        <v>427</v>
      </c>
    </row>
    <row r="69" spans="1:4" x14ac:dyDescent="0.25">
      <c r="A69" s="2" t="s">
        <v>430</v>
      </c>
      <c r="B69" s="2" t="s">
        <v>426</v>
      </c>
      <c r="C69" s="2" t="s">
        <v>405</v>
      </c>
      <c r="D69" s="2" t="s">
        <v>427</v>
      </c>
    </row>
    <row r="70" spans="1:4" x14ac:dyDescent="0.25">
      <c r="A70" s="2" t="s">
        <v>430</v>
      </c>
      <c r="B70" s="2" t="s">
        <v>426</v>
      </c>
      <c r="C70" s="2" t="s">
        <v>345</v>
      </c>
      <c r="D70" s="2" t="s">
        <v>414</v>
      </c>
    </row>
    <row r="71" spans="1:4" x14ac:dyDescent="0.25">
      <c r="A71" s="2" t="s">
        <v>431</v>
      </c>
      <c r="B71" s="2" t="s">
        <v>432</v>
      </c>
      <c r="C71" s="2" t="s">
        <v>0</v>
      </c>
      <c r="D71" s="2" t="s">
        <v>412</v>
      </c>
    </row>
    <row r="72" spans="1:4" x14ac:dyDescent="0.25">
      <c r="A72" s="2" t="s">
        <v>431</v>
      </c>
      <c r="B72" s="2" t="s">
        <v>432</v>
      </c>
      <c r="C72" s="2" t="s">
        <v>312</v>
      </c>
      <c r="D72" s="2" t="s">
        <v>414</v>
      </c>
    </row>
    <row r="73" spans="1:4" x14ac:dyDescent="0.25">
      <c r="A73" s="2" t="s">
        <v>433</v>
      </c>
      <c r="B73" s="2" t="s">
        <v>432</v>
      </c>
      <c r="C73" s="2" t="s">
        <v>0</v>
      </c>
      <c r="D73" s="2" t="s">
        <v>412</v>
      </c>
    </row>
    <row r="74" spans="1:4" x14ac:dyDescent="0.25">
      <c r="A74" s="2" t="s">
        <v>433</v>
      </c>
      <c r="B74" s="2" t="s">
        <v>432</v>
      </c>
      <c r="C74" s="2" t="s">
        <v>332</v>
      </c>
      <c r="D74" s="2" t="s">
        <v>414</v>
      </c>
    </row>
    <row r="75" spans="1:4" x14ac:dyDescent="0.25">
      <c r="A75" s="2" t="s">
        <v>434</v>
      </c>
      <c r="B75" s="2" t="s">
        <v>432</v>
      </c>
      <c r="C75" s="2" t="s">
        <v>0</v>
      </c>
      <c r="D75" s="2" t="s">
        <v>412</v>
      </c>
    </row>
    <row r="76" spans="1:4" x14ac:dyDescent="0.25">
      <c r="A76" s="2" t="s">
        <v>434</v>
      </c>
      <c r="B76" s="2" t="s">
        <v>432</v>
      </c>
      <c r="C76" s="2" t="s">
        <v>340</v>
      </c>
      <c r="D76" s="2" t="s">
        <v>414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5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47" customWidth="1"/>
    <col min="2" max="2" width="22" customWidth="1"/>
    <col min="3" max="4" width="48" customWidth="1"/>
  </cols>
  <sheetData>
    <row r="1" spans="1:4" ht="30" customHeight="1" x14ac:dyDescent="0.25">
      <c r="A1" s="8" t="s">
        <v>1</v>
      </c>
      <c r="B1" s="8" t="s">
        <v>435</v>
      </c>
      <c r="C1" s="8" t="s">
        <v>436</v>
      </c>
      <c r="D1" s="8" t="s">
        <v>437</v>
      </c>
    </row>
    <row r="2" spans="1:4" x14ac:dyDescent="0.25">
      <c r="A2" s="2" t="s">
        <v>24</v>
      </c>
      <c r="B2" s="2" t="s">
        <v>438</v>
      </c>
      <c r="C2" s="2" t="s">
        <v>439</v>
      </c>
      <c r="D2" s="2" t="s">
        <v>440</v>
      </c>
    </row>
    <row r="3" spans="1:4" x14ac:dyDescent="0.25">
      <c r="A3" s="2" t="s">
        <v>37</v>
      </c>
      <c r="B3" s="2" t="s">
        <v>441</v>
      </c>
      <c r="C3" s="2" t="s">
        <v>442</v>
      </c>
      <c r="D3" s="2" t="s">
        <v>443</v>
      </c>
    </row>
    <row r="4" spans="1:4" x14ac:dyDescent="0.25">
      <c r="A4" s="2" t="s">
        <v>37</v>
      </c>
      <c r="B4" s="2" t="s">
        <v>444</v>
      </c>
      <c r="C4" s="2" t="s">
        <v>445</v>
      </c>
      <c r="D4" s="2" t="s">
        <v>446</v>
      </c>
    </row>
    <row r="5" spans="1:4" x14ac:dyDescent="0.25">
      <c r="A5" s="2" t="s">
        <v>58</v>
      </c>
      <c r="B5" s="2" t="s">
        <v>441</v>
      </c>
      <c r="C5" s="2" t="s">
        <v>447</v>
      </c>
      <c r="D5" s="2" t="s">
        <v>443</v>
      </c>
    </row>
    <row r="6" spans="1:4" x14ac:dyDescent="0.25">
      <c r="A6" s="2" t="s">
        <v>80</v>
      </c>
      <c r="B6" s="2" t="s">
        <v>441</v>
      </c>
      <c r="C6" s="2" t="s">
        <v>448</v>
      </c>
      <c r="D6" s="2" t="s">
        <v>443</v>
      </c>
    </row>
    <row r="7" spans="1:4" x14ac:dyDescent="0.25">
      <c r="A7" s="2" t="s">
        <v>91</v>
      </c>
      <c r="B7" s="2" t="s">
        <v>441</v>
      </c>
      <c r="C7" s="2" t="s">
        <v>449</v>
      </c>
      <c r="D7" s="2" t="s">
        <v>443</v>
      </c>
    </row>
    <row r="8" spans="1:4" x14ac:dyDescent="0.25">
      <c r="A8" s="2" t="s">
        <v>102</v>
      </c>
      <c r="B8" s="2" t="s">
        <v>441</v>
      </c>
      <c r="C8" s="2" t="s">
        <v>450</v>
      </c>
      <c r="D8" s="2" t="s">
        <v>443</v>
      </c>
    </row>
    <row r="9" spans="1:4" x14ac:dyDescent="0.25">
      <c r="A9" s="2" t="s">
        <v>168</v>
      </c>
      <c r="B9" s="2" t="s">
        <v>451</v>
      </c>
      <c r="C9" s="2" t="s">
        <v>452</v>
      </c>
      <c r="D9" s="2" t="s">
        <v>446</v>
      </c>
    </row>
    <row r="10" spans="1:4" x14ac:dyDescent="0.25">
      <c r="A10" s="2" t="s">
        <v>180</v>
      </c>
      <c r="B10" s="2" t="s">
        <v>441</v>
      </c>
      <c r="C10" s="2" t="s">
        <v>453</v>
      </c>
      <c r="D10" s="2" t="s">
        <v>443</v>
      </c>
    </row>
    <row r="11" spans="1:4" x14ac:dyDescent="0.25">
      <c r="A11" s="2" t="s">
        <v>200</v>
      </c>
      <c r="B11" s="2" t="s">
        <v>454</v>
      </c>
      <c r="C11" s="2" t="s">
        <v>455</v>
      </c>
      <c r="D11" s="2" t="s">
        <v>443</v>
      </c>
    </row>
    <row r="12" spans="1:4" x14ac:dyDescent="0.25">
      <c r="A12" s="2" t="s">
        <v>211</v>
      </c>
      <c r="B12" s="2" t="s">
        <v>454</v>
      </c>
      <c r="C12" s="2" t="s">
        <v>456</v>
      </c>
      <c r="D12" s="2" t="s">
        <v>443</v>
      </c>
    </row>
    <row r="13" spans="1:4" x14ac:dyDescent="0.25">
      <c r="A13" s="2" t="s">
        <v>211</v>
      </c>
      <c r="B13" s="2" t="s">
        <v>441</v>
      </c>
      <c r="C13" s="2" t="s">
        <v>457</v>
      </c>
      <c r="D13" s="2" t="s">
        <v>443</v>
      </c>
    </row>
    <row r="14" spans="1:4" x14ac:dyDescent="0.25">
      <c r="A14" s="2" t="s">
        <v>242</v>
      </c>
      <c r="B14" s="2" t="s">
        <v>441</v>
      </c>
      <c r="C14" s="2" t="s">
        <v>458</v>
      </c>
      <c r="D14" s="2" t="s">
        <v>443</v>
      </c>
    </row>
    <row r="15" spans="1:4" x14ac:dyDescent="0.25">
      <c r="A15" s="2" t="s">
        <v>272</v>
      </c>
      <c r="B15" s="2" t="s">
        <v>454</v>
      </c>
      <c r="C15" s="2" t="s">
        <v>459</v>
      </c>
      <c r="D15" s="2" t="s">
        <v>443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Dim_Empresa</vt:lpstr>
      <vt:lpstr>Dim_Region</vt:lpstr>
      <vt:lpstr>Dim_Fecha</vt:lpstr>
      <vt:lpstr>Dim_Red_Social</vt:lpstr>
      <vt:lpstr>Dim_Variedad</vt:lpstr>
      <vt:lpstr>Dim_Proceso</vt:lpstr>
      <vt:lpstr>Dim_Tueste</vt:lpstr>
      <vt:lpstr>Dim_Tamano</vt:lpstr>
      <vt:lpstr>Fact_Empresa</vt:lpstr>
      <vt:lpstr>Fact_Redes_Sociales</vt:lpstr>
      <vt:lpstr>Fact_Precios</vt:lpstr>
      <vt:lpstr>Bridge_Empresa_Variedad</vt:lpstr>
      <vt:lpstr>Bridge_Empresa_Proceso</vt:lpstr>
      <vt:lpstr>Bridge_Empresa_Tueste</vt:lpstr>
      <vt:lpstr>_Diccionario_Datos</vt:lpstr>
      <vt:lpstr>_Revision_Manual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ANTONIO OVIEDO BALLESTERO</cp:lastModifiedBy>
  <cp:revision>0</cp:revision>
  <dcterms:created xsi:type="dcterms:W3CDTF">2026-06-04T21:32:05Z</dcterms:created>
  <dcterms:modified xsi:type="dcterms:W3CDTF">2026-06-15T16:29:53Z</dcterms:modified>
  <dc:language>en-US</dc:language>
</cp:coreProperties>
</file>